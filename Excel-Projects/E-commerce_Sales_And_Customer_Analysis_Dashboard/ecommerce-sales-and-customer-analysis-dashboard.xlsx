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ata Analytics\Excel for Data Analytics\Projects\Excel-Projects\E-commerce_Sales_Dashboard\"/>
    </mc:Choice>
  </mc:AlternateContent>
  <xr:revisionPtr revIDLastSave="0" documentId="13_ncr:1_{E0B4C47A-017A-4F18-A32E-A80D7FF3599D}" xr6:coauthVersionLast="47" xr6:coauthVersionMax="47" xr10:uidLastSave="{00000000-0000-0000-0000-000000000000}"/>
  <bookViews>
    <workbookView xWindow="-108" yWindow="-108" windowWidth="23256" windowHeight="13176" activeTab="2" xr2:uid="{346724B3-1C49-40AE-AA36-C77CF5D6DD09}"/>
  </bookViews>
  <sheets>
    <sheet name="Data" sheetId="1" r:id="rId1"/>
    <sheet name="pivot_backend" sheetId="5" r:id="rId2"/>
    <sheet name="Dashboard" sheetId="6" r:id="rId3"/>
  </sheets>
  <definedNames>
    <definedName name="_xlchart.v5.0" hidden="1">pivot_backend!$G$80:$H$80</definedName>
    <definedName name="_xlchart.v5.1" hidden="1">pivot_backend!$G$81:$H$138</definedName>
    <definedName name="_xlchart.v5.10" hidden="1">pivot_backend!$I$80</definedName>
    <definedName name="_xlchart.v5.11" hidden="1">pivot_backend!$I$81:$I$138</definedName>
    <definedName name="_xlchart.v5.2" hidden="1">pivot_backend!$I$80</definedName>
    <definedName name="_xlchart.v5.3" hidden="1">pivot_backend!$I$81:$I$138</definedName>
    <definedName name="_xlchart.v5.4" hidden="1">pivot_backend!$K$80:$L$80</definedName>
    <definedName name="_xlchart.v5.5" hidden="1">pivot_backend!$K$81:$L$138</definedName>
    <definedName name="_xlchart.v5.6" hidden="1">pivot_backend!$M$80</definedName>
    <definedName name="_xlchart.v5.7" hidden="1">pivot_backend!$M$81:$M$138</definedName>
    <definedName name="_xlchart.v5.8" hidden="1">pivot_backend!$G$80:$H$80</definedName>
    <definedName name="_xlchart.v5.9" hidden="1">pivot_backend!$G$81:$H$138</definedName>
    <definedName name="Slicer_Gender_Value">#N/A</definedName>
    <definedName name="Slicer_Order_Mode">#N/A</definedName>
  </definedNames>
  <calcPr calcId="191029"/>
  <pivotCaches>
    <pivotCache cacheId="4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2" i="5" l="1"/>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81" i="5"/>
  <c r="M131" i="5"/>
  <c r="M132" i="5"/>
  <c r="M133" i="5"/>
  <c r="M134" i="5"/>
  <c r="M135" i="5"/>
  <c r="M136" i="5"/>
  <c r="M137" i="5"/>
  <c r="M138"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L81" i="5"/>
  <c r="K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81" i="5"/>
  <c r="G115" i="5"/>
  <c r="G116" i="5"/>
  <c r="G117" i="5"/>
  <c r="G118" i="5"/>
  <c r="G119" i="5"/>
  <c r="G120" i="5"/>
  <c r="G121" i="5"/>
  <c r="G122" i="5"/>
  <c r="G123" i="5"/>
  <c r="G124" i="5"/>
  <c r="G125" i="5"/>
  <c r="G126" i="5"/>
  <c r="G127" i="5"/>
  <c r="G128" i="5"/>
  <c r="G129" i="5"/>
  <c r="G130" i="5"/>
  <c r="G131" i="5"/>
  <c r="G132" i="5"/>
  <c r="G133" i="5"/>
  <c r="G134" i="5"/>
  <c r="G135" i="5"/>
  <c r="G136" i="5"/>
  <c r="G137" i="5"/>
  <c r="G138"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81" i="5"/>
  <c r="H80" i="5"/>
  <c r="G80" i="5"/>
  <c r="P10" i="5"/>
  <c r="Q10" i="5"/>
  <c r="R10" i="5"/>
  <c r="O10" i="5"/>
  <c r="N13" i="5"/>
  <c r="O13" i="5"/>
  <c r="P13" i="5"/>
  <c r="Q13" i="5"/>
  <c r="R13" i="5"/>
  <c r="N14" i="5"/>
  <c r="O14" i="5"/>
  <c r="P14" i="5"/>
  <c r="Q14" i="5"/>
  <c r="R14" i="5"/>
  <c r="N15" i="5"/>
  <c r="O15" i="5"/>
  <c r="P15" i="5"/>
  <c r="Q15" i="5"/>
  <c r="R15" i="5"/>
  <c r="N12" i="5"/>
  <c r="O12" i="5"/>
  <c r="P12" i="5"/>
  <c r="Q12" i="5"/>
  <c r="R12" i="5"/>
  <c r="O11" i="5"/>
  <c r="P11" i="5"/>
  <c r="Q11" i="5"/>
  <c r="R11" i="5"/>
  <c r="N11" i="5"/>
  <c r="I4" i="5"/>
  <c r="G4" i="5"/>
  <c r="K4" i="5"/>
  <c r="J4" i="5"/>
  <c r="H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<sst xmlns="http://schemas.openxmlformats.org/spreadsheetml/2006/main" count="14623" uniqueCount="2527">
  <si>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</si>
  <si>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</si>
  <si>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</si>
  <si>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</si>
  <si>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</si>
  <si>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</si>
  <si>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</si>
  <si>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</si>
  <si>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</si>
  <si>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</si>
  <si>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</si>
  <si>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</si>
  <si>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</si>
  <si>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</si>
  <si>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</si>
  <si>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</si>
  <si>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</si>
  <si>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</si>
  <si>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</si>
  <si>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</si>
  <si>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</si>
  <si>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</si>
  <si>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</si>
  <si>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</si>
  <si>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</si>
  <si>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</si>
  <si>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</si>
  <si>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</si>
  <si>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</si>
  <si>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</si>
  <si>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</si>
  <si>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</si>
  <si>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</si>
  <si>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</si>
  <si>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</si>
  <si>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</si>
  <si>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</si>
  <si>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</si>
  <si>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</si>
  <si>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</si>
  <si>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</si>
  <si>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</si>
  <si>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</si>
  <si>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</si>
  <si>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</si>
  <si>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</si>
  <si>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</si>
  <si>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</si>
  <si>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</si>
  <si>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</si>
  <si>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</si>
  <si>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</si>
  <si>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</si>
  <si>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</si>
  <si>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</si>
  <si>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</si>
  <si>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</si>
  <si>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</si>
  <si>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</si>
  <si>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</si>
  <si>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</si>
  <si>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</si>
  <si>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</si>
  <si>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</si>
  <si>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</si>
  <si>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</si>
  <si>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</si>
  <si>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</si>
  <si>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</si>
  <si>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</si>
  <si>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</si>
  <si>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</si>
  <si>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</si>
  <si>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</si>
  <si>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</si>
  <si>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</si>
  <si>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</si>
  <si>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</si>
  <si>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</si>
  <si>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</si>
  <si>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</si>
  <si>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</si>
  <si>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</si>
  <si>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</si>
  <si>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</si>
  <si>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</si>
  <si>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</si>
  <si>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</si>
  <si>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</si>
  <si>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</si>
  <si>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</si>
  <si>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</si>
  <si>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</si>
  <si>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</si>
  <si>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</si>
  <si>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</si>
  <si>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</si>
  <si>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</si>
  <si>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</si>
  <si>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</si>
  <si>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</si>
  <si>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</si>
  <si>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</si>
  <si>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</si>
  <si>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</si>
  <si>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</si>
  <si>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</si>
  <si>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</si>
  <si>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</si>
  <si>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</si>
  <si>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</si>
  <si>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</si>
  <si>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</si>
  <si>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</si>
  <si>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</si>
  <si>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</si>
  <si>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</si>
  <si>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</si>
  <si>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</si>
  <si>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</si>
  <si>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</si>
  <si>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</si>
  <si>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</si>
  <si>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</si>
  <si>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</si>
  <si>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</si>
  <si>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</si>
  <si>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</si>
  <si>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</si>
  <si>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</si>
  <si>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</si>
  <si>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</si>
  <si>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</si>
  <si>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</si>
  <si>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</si>
  <si>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</si>
  <si>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</si>
  <si>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</si>
  <si>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</si>
  <si>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</si>
  <si>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</si>
  <si>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</si>
  <si>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</si>
  <si>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</si>
  <si>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</si>
  <si>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</si>
  <si>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</si>
  <si>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</si>
  <si>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</si>
  <si>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</si>
  <si>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</si>
  <si>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</si>
  <si>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</si>
  <si>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</si>
  <si>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</si>
  <si>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</si>
  <si>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</si>
  <si>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</si>
  <si>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</si>
  <si>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</si>
  <si>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</si>
  <si>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</si>
  <si>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</si>
  <si>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</si>
  <si>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</si>
  <si>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</si>
  <si>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</si>
  <si>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</si>
  <si>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</si>
  <si>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</si>
  <si>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</si>
  <si>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</si>
  <si>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</si>
  <si>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</si>
  <si>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</si>
  <si>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</si>
  <si>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</si>
  <si>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</si>
  <si>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</si>
  <si>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</si>
  <si>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</si>
  <si>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</si>
  <si>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</si>
  <si>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</si>
  <si>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</si>
  <si>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</si>
  <si>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</si>
  <si>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</si>
  <si>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</si>
  <si>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</si>
  <si>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</si>
  <si>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</si>
  <si>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</si>
  <si>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</si>
  <si>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</si>
  <si>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</si>
  <si>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</si>
  <si>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</si>
  <si>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</si>
  <si>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</si>
  <si>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</si>
  <si>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</si>
  <si>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</si>
  <si>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</si>
  <si>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</si>
  <si>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</si>
  <si>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</si>
  <si>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</si>
  <si>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</si>
  <si>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</si>
  <si>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</si>
  <si>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</si>
  <si>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</si>
  <si>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</si>
  <si>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</si>
  <si>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</si>
  <si>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</si>
  <si>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</si>
  <si>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</si>
  <si>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</si>
  <si>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</si>
  <si>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</si>
  <si>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</si>
  <si>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</si>
  <si>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</si>
  <si>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</si>
  <si>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</si>
  <si>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</si>
  <si>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</si>
  <si>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</si>
  <si>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</si>
  <si>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</si>
  <si>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</si>
  <si>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</si>
  <si>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</si>
  <si>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</si>
  <si>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</si>
  <si>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</si>
  <si>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</si>
  <si>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</si>
  <si>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</si>
  <si>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</si>
  <si>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</si>
  <si>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</si>
  <si>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</si>
  <si>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</si>
  <si>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</si>
  <si>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</si>
  <si>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</si>
  <si>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</si>
  <si>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</si>
  <si>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</si>
  <si>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</si>
  <si>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</si>
  <si>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</si>
  <si>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</si>
  <si>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</si>
  <si>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</si>
  <si>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</si>
  <si>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</si>
  <si>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</si>
  <si>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</si>
  <si>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</si>
  <si>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</si>
  <si>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</si>
  <si>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</si>
  <si>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</si>
  <si>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</si>
  <si>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</si>
  <si>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</si>
  <si>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</si>
  <si>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</si>
  <si>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</si>
  <si>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</si>
  <si>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</si>
  <si>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</si>
  <si>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</si>
  <si>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</si>
  <si>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</si>
  <si>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</si>
  <si>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</si>
  <si>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</si>
  <si>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</si>
  <si>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</si>
  <si>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</si>
  <si>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</si>
  <si>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</si>
  <si>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</si>
  <si>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</si>
  <si>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</si>
  <si>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</si>
  <si>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</si>
  <si>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</si>
  <si>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</si>
  <si>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</si>
  <si>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</si>
  <si>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</si>
  <si>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</si>
  <si>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</si>
  <si>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</si>
  <si>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</si>
  <si>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</si>
  <si>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</si>
  <si>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</si>
  <si>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</si>
  <si>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</si>
  <si>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</si>
  <si>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</si>
  <si>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</si>
  <si>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</si>
  <si>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</si>
  <si>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</si>
  <si>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</si>
  <si>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</si>
  <si>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</si>
  <si>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</si>
  <si>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</si>
  <si>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</si>
  <si>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</si>
  <si>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</si>
  <si>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</si>
  <si>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</si>
  <si>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</si>
  <si>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</si>
  <si>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</si>
  <si>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</si>
  <si>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</si>
  <si>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</si>
  <si>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</si>
  <si>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</si>
  <si>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</si>
  <si>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</si>
  <si>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</si>
  <si>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</si>
  <si>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</si>
  <si>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</si>
  <si>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</si>
  <si>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</si>
  <si>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</si>
  <si>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</si>
  <si>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</si>
  <si>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</si>
  <si>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</si>
  <si>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</si>
  <si>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</si>
  <si>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</si>
  <si>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</si>
  <si>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</si>
  <si>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</si>
  <si>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</si>
  <si>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</si>
  <si>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</si>
  <si>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</si>
  <si>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</si>
  <si>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</si>
  <si>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</si>
  <si>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</si>
  <si>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</si>
  <si>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</si>
  <si>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</si>
  <si>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</si>
  <si>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</si>
  <si>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</si>
  <si>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</si>
  <si>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</si>
  <si>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</si>
  <si>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</si>
  <si>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</si>
  <si>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</si>
  <si>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</si>
  <si>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</si>
  <si>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</si>
  <si>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</si>
  <si>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</si>
  <si>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</si>
  <si>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</si>
  <si>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</si>
  <si>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</si>
  <si>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</si>
  <si>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</si>
  <si>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</si>
  <si>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</si>
  <si>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</si>
  <si>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</si>
  <si>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</si>
  <si>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</si>
  <si>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</si>
  <si>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</si>
  <si>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</si>
  <si>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</si>
  <si>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</si>
  <si>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</si>
  <si>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</si>
  <si>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</si>
  <si>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</si>
  <si>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</si>
  <si>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</si>
  <si>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</si>
  <si>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</si>
  <si>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</si>
  <si>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</si>
  <si>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</si>
  <si>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</si>
  <si>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</si>
  <si>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</si>
  <si>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</si>
  <si>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</si>
  <si>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</si>
  <si>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</si>
  <si>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</si>
  <si>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</si>
  <si>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</si>
  <si>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</si>
  <si>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</si>
  <si>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</si>
  <si>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</si>
  <si>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</si>
  <si>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</si>
  <si>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</si>
  <si>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</si>
  <si>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</si>
  <si>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</si>
  <si>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</si>
  <si>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</si>
  <si>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</si>
  <si>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</si>
  <si>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</si>
  <si>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</si>
  <si>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</si>
  <si>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</si>
  <si>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</si>
  <si>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</si>
  <si>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</si>
  <si>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</si>
  <si>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</si>
  <si>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</si>
  <si>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</si>
  <si>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</si>
  <si>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</si>
  <si>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</si>
  <si>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</si>
  <si>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</si>
  <si>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</si>
  <si>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</si>
  <si>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</si>
  <si>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</si>
  <si>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</si>
  <si>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</si>
  <si>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</si>
  <si>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</si>
  <si>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</si>
  <si>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</si>
  <si>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</si>
  <si>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</si>
  <si>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</si>
  <si>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</si>
  <si>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</si>
  <si>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</si>
  <si>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</si>
  <si>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</si>
  <si>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</si>
  <si>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</si>
  <si>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</si>
  <si>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</si>
  <si>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</si>
  <si>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</si>
  <si>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</si>
  <si>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</si>
  <si>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</si>
  <si>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</si>
  <si>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</si>
  <si>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</si>
  <si>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</si>
  <si>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</si>
  <si>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</si>
  <si>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</si>
  <si>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</si>
  <si>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</si>
  <si>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</si>
  <si>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</si>
  <si>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</si>
  <si>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</si>
  <si>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</si>
  <si>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</si>
  <si>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</si>
  <si>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</si>
  <si>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</si>
  <si>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</si>
  <si>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</si>
  <si>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</si>
  <si>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</si>
  <si>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</si>
  <si>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</si>
  <si>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</si>
  <si>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</si>
  <si>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</si>
  <si>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</si>
  <si>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</si>
  <si>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</si>
  <si>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</si>
  <si>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</si>
  <si>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</si>
  <si>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</si>
  <si>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</si>
  <si>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</si>
  <si>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</si>
  <si>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</si>
  <si>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</si>
  <si>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</si>
  <si>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</si>
  <si>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</si>
  <si>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</si>
  <si>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</si>
  <si>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</si>
  <si>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</si>
  <si>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</si>
  <si>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</si>
  <si>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</si>
  <si>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</si>
  <si>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</si>
  <si>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</si>
  <si>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</si>
  <si>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</si>
  <si>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</si>
  <si>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</si>
  <si>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</si>
  <si>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</si>
  <si>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</si>
  <si>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</si>
  <si>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</si>
  <si>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</si>
  <si>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</si>
  <si>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</si>
  <si>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</si>
  <si>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</si>
  <si>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</si>
  <si>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</si>
  <si>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</si>
  <si>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</si>
  <si>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</si>
  <si>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</si>
  <si>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</si>
  <si>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</si>
  <si>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</si>
  <si>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</si>
  <si>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</si>
  <si>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</si>
  <si>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</si>
  <si>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</si>
  <si>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</si>
  <si>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</si>
  <si>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</si>
  <si>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</si>
  <si>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</si>
  <si>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</si>
  <si>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</si>
  <si>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</si>
  <si>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</si>
  <si>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</si>
  <si>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</si>
  <si>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</si>
  <si>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</si>
  <si>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</si>
  <si>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</si>
  <si>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</si>
  <si>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</si>
  <si>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</si>
  <si>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</si>
  <si>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</si>
  <si>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</si>
  <si>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</si>
  <si>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</si>
  <si>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</si>
  <si>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</si>
  <si>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</si>
  <si>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</si>
  <si>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</si>
  <si>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</si>
  <si>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</si>
  <si>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</si>
  <si>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</si>
  <si>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</si>
  <si>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</si>
  <si>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</si>
  <si>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</si>
  <si>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</si>
  <si>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</si>
  <si>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</si>
  <si>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</si>
  <si>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</si>
  <si>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</si>
  <si>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</si>
  <si>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</si>
  <si>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</si>
  <si>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</si>
  <si>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</si>
  <si>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</si>
  <si>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</si>
  <si>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</si>
  <si>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</si>
  <si>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</si>
  <si>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</si>
  <si>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</si>
  <si>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</si>
  <si>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</si>
  <si>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</si>
  <si>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</si>
  <si>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</si>
  <si>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</si>
  <si>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</si>
  <si>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</si>
  <si>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</si>
  <si>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</si>
  <si>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</si>
  <si>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</si>
  <si>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</si>
  <si>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</si>
  <si>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</si>
  <si>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</si>
  <si>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</si>
  <si>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</si>
  <si>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</si>
  <si>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</si>
  <si>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</si>
  <si>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</si>
  <si>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</si>
  <si>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</si>
  <si>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</si>
  <si>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</si>
  <si>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</si>
  <si>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</si>
  <si>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</si>
  <si>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</si>
  <si>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</si>
  <si>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</si>
  <si>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</si>
  <si>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</si>
  <si>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</si>
  <si>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</si>
  <si>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</si>
  <si>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</si>
  <si>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</si>
  <si>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</si>
  <si>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</si>
  <si>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</si>
  <si>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</si>
  <si>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</si>
  <si>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</si>
  <si>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</si>
  <si>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</si>
  <si>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</si>
  <si>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</si>
  <si>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</si>
  <si>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</si>
  <si>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</si>
  <si>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</si>
  <si>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</si>
  <si>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</si>
  <si>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</si>
  <si>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</si>
  <si>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</si>
  <si>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</si>
  <si>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</si>
  <si>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</si>
  <si>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</si>
  <si>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</si>
  <si>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</si>
  <si>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</si>
  <si>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</si>
  <si>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</si>
  <si>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</si>
  <si>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</si>
  <si>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</si>
  <si>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</si>
  <si>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</si>
  <si>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</si>
  <si>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</si>
  <si>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</si>
  <si>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</si>
  <si>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</si>
  <si>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</si>
  <si>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</si>
  <si>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</si>
  <si>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</si>
  <si>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</si>
  <si>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</si>
  <si>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</si>
  <si>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</si>
  <si>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</si>
  <si>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</si>
  <si>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</si>
  <si>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</si>
  <si>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</si>
  <si>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</si>
  <si>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</si>
  <si>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</si>
  <si>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</si>
  <si>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</si>
  <si>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</si>
  <si>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</si>
  <si>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</si>
  <si>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</si>
  <si>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</si>
  <si>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</si>
  <si>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</si>
  <si>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</si>
  <si>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</si>
  <si>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</si>
  <si>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</si>
  <si>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</si>
  <si>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</si>
  <si>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</si>
  <si>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</si>
  <si>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</si>
  <si>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</si>
  <si>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</si>
  <si>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</si>
  <si>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</si>
  <si>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</si>
  <si>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</si>
  <si>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</si>
  <si>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</si>
  <si>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</si>
  <si>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</si>
  <si>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</si>
  <si>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</si>
  <si>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</si>
  <si>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</si>
  <si>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</si>
  <si>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</si>
  <si>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</si>
  <si>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</si>
  <si>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</si>
  <si>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</si>
  <si>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</si>
  <si>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</si>
  <si>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</si>
  <si>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</si>
  <si>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</si>
  <si>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</si>
  <si>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</si>
  <si>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</si>
  <si>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</si>
  <si>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</si>
  <si>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</si>
  <si>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</si>
  <si>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</si>
  <si>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</si>
  <si>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</si>
  <si>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</si>
  <si>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</si>
  <si>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</si>
  <si>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</si>
  <si>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</si>
  <si>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</si>
  <si>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</si>
  <si>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</si>
  <si>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</si>
  <si>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</si>
  <si>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</si>
  <si>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</si>
  <si>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</si>
  <si>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</si>
  <si>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</si>
  <si>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</si>
  <si>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</si>
  <si>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</si>
  <si>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</si>
  <si>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</si>
  <si>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</si>
  <si>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</si>
  <si>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</si>
  <si>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</si>
  <si>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</si>
  <si>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</si>
  <si>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</si>
  <si>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</si>
  <si>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</si>
  <si>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</si>
  <si>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</si>
  <si>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</si>
  <si>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</si>
  <si>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</si>
  <si>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</si>
  <si>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</si>
  <si>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</si>
  <si>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</si>
  <si>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</si>
  <si>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</si>
  <si>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</si>
  <si>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</si>
  <si>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</si>
  <si>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</si>
  <si>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</si>
  <si>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</si>
  <si>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</si>
  <si>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</si>
  <si>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</si>
  <si>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</si>
  <si>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</si>
  <si>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</si>
  <si>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</si>
  <si>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</si>
  <si>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</si>
  <si>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</si>
  <si>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</si>
  <si>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</si>
  <si>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</si>
  <si>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</si>
  <si>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</si>
  <si>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</si>
  <si>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</si>
  <si>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</si>
  <si>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</si>
  <si>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</si>
  <si>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</si>
  <si>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</si>
  <si>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</si>
  <si>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</si>
  <si>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</si>
  <si>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</si>
  <si>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</si>
  <si>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</si>
  <si>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</si>
  <si>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</si>
  <si>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</si>
  <si>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</si>
  <si>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</si>
  <si>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</si>
  <si>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</si>
  <si>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</si>
  <si>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</si>
  <si>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</si>
  <si>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</si>
  <si>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</si>
  <si>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</si>
  <si>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</si>
  <si>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</si>
  <si>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</si>
  <si>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</si>
  <si>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</si>
  <si>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</si>
  <si>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</si>
  <si>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</si>
  <si>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</si>
  <si>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</si>
  <si>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</si>
  <si>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</si>
  <si>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</si>
  <si>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</si>
  <si>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</si>
  <si>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</si>
  <si>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</si>
  <si>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</si>
  <si>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</si>
  <si>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</si>
  <si>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</si>
  <si>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</si>
  <si>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</si>
  <si>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</si>
  <si>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</si>
  <si>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</si>
  <si>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</si>
  <si>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</si>
  <si>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</si>
  <si>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</si>
  <si>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</si>
  <si>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</si>
  <si>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</si>
  <si>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</si>
  <si>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</si>
  <si>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</si>
  <si>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</si>
  <si>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</si>
  <si>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</si>
  <si>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</si>
  <si>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</si>
  <si>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</si>
  <si>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</si>
  <si>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</si>
  <si>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</si>
  <si>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</si>
  <si>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</si>
  <si>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</si>
  <si>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</si>
  <si>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</si>
  <si>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</si>
  <si>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</si>
  <si>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</si>
  <si>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</si>
  <si>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</si>
  <si>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</si>
  <si>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</si>
  <si>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</si>
  <si>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</si>
  <si>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</si>
  <si>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</si>
  <si>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</si>
  <si>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</si>
  <si>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</si>
  <si>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</si>
  <si>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</si>
  <si>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</si>
  <si>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</si>
  <si>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</si>
  <si>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</si>
  <si>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</si>
  <si>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</si>
  <si>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</si>
  <si>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</si>
  <si>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</si>
  <si>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</si>
  <si>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</si>
  <si>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</si>
  <si>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</si>
  <si>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</si>
  <si>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</si>
  <si>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</si>
  <si>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</si>
  <si>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</si>
  <si>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</si>
  <si>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</si>
  <si>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</si>
  <si>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</si>
  <si>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</si>
  <si>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</si>
  <si>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</si>
  <si>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</si>
  <si>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</si>
  <si>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</si>
  <si>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</si>
  <si>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</si>
  <si>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</si>
  <si>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</si>
  <si>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</si>
  <si>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</si>
  <si>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</si>
  <si>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</si>
  <si>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</si>
  <si>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</si>
  <si>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</si>
  <si>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</si>
  <si>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</si>
  <si>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</si>
  <si>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</si>
  <si>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</si>
  <si>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</si>
  <si>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</si>
  <si>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</si>
  <si>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</si>
  <si>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</si>
  <si>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</si>
  <si>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</si>
  <si>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</si>
  <si>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</si>
  <si>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</si>
  <si>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</si>
  <si>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</si>
  <si>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</si>
  <si>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</si>
  <si>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</si>
  <si>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</si>
  <si>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</si>
  <si>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</si>
  <si>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</si>
  <si>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</si>
  <si>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</si>
  <si>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</si>
  <si>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</si>
  <si>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</si>
  <si>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</si>
  <si>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</si>
  <si>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</si>
  <si>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</si>
  <si>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</si>
  <si>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</si>
  <si>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</si>
  <si>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</si>
  <si>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</si>
  <si>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</si>
  <si>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</si>
  <si>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</si>
  <si>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</si>
  <si>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</si>
  <si>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</si>
  <si>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</si>
  <si>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</si>
  <si>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</si>
  <si>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</si>
  <si>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</si>
  <si>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</si>
  <si>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</si>
  <si>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</si>
  <si>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</si>
  <si>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</si>
  <si>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</si>
  <si>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</si>
  <si>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</si>
  <si>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</si>
  <si>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</si>
  <si>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</si>
  <si>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</si>
  <si>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</si>
  <si>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</si>
  <si>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</si>
  <si>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</si>
  <si>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</si>
  <si>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</si>
  <si>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</si>
  <si>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</si>
  <si>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</si>
  <si>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</si>
  <si>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</si>
  <si>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</si>
  <si>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</si>
  <si>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</si>
  <si>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</si>
  <si>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</si>
  <si>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</si>
  <si>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</si>
  <si>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</si>
  <si>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</si>
  <si>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</si>
  <si>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</si>
  <si>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</si>
  <si>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</si>
  <si>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</si>
  <si>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</si>
  <si>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</si>
  <si>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</si>
  <si>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</si>
  <si>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</si>
  <si>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</si>
  <si>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</si>
  <si>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</si>
  <si>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</si>
  <si>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</si>
  <si>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</si>
  <si>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</si>
  <si>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</si>
  <si>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</si>
  <si>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</si>
  <si>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</si>
  <si>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</si>
  <si>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</si>
  <si>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</si>
  <si>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</si>
  <si>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</si>
  <si>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</si>
  <si>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</si>
  <si>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</si>
  <si>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</si>
  <si>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</si>
  <si>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</si>
  <si>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</si>
  <si>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</si>
  <si>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</si>
  <si>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</si>
  <si>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</si>
  <si>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</si>
  <si>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</si>
  <si>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</si>
  <si>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</si>
  <si>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</si>
  <si>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</si>
  <si>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</si>
  <si>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</si>
  <si>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</si>
  <si>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</si>
  <si>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</si>
  <si>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</si>
  <si>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</si>
  <si>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</si>
  <si>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</si>
  <si>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</si>
  <si>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</si>
  <si>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</si>
  <si>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</si>
  <si>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</si>
  <si>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</si>
  <si>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</si>
  <si>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</si>
  <si>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</si>
  <si>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</si>
  <si>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</si>
  <si>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</si>
  <si>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</si>
  <si>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</si>
  <si>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</si>
  <si>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</si>
  <si>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</si>
  <si>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</si>
  <si>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</si>
  <si>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</si>
  <si>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</si>
  <si>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</si>
  <si>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</si>
  <si>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</si>
  <si>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</si>
  <si>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</si>
  <si>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</si>
  <si>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</si>
  <si>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</si>
  <si>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</si>
  <si>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</si>
  <si>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</si>
  <si>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</si>
  <si>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</si>
  <si>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</si>
  <si>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</si>
  <si>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</si>
  <si>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</si>
  <si>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</si>
  <si>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</si>
  <si>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</si>
  <si>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</si>
  <si>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</si>
  <si>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</si>
  <si>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</si>
  <si>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</si>
  <si>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</si>
  <si>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</si>
  <si>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</si>
  <si>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</si>
  <si>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</si>
  <si>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</si>
  <si>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</si>
  <si>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</si>
  <si>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</si>
  <si>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</si>
  <si>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</si>
  <si>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</si>
  <si>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</si>
  <si>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</si>
  <si>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</si>
  <si>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</si>
  <si>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</si>
  <si>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</si>
  <si>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</si>
  <si>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</si>
  <si>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</si>
  <si>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</si>
  <si>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</si>
  <si>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</si>
  <si>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</si>
  <si>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</si>
  <si>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</si>
  <si>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</si>
  <si>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</si>
  <si>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</si>
  <si>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</si>
  <si>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</si>
  <si>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</si>
  <si>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</si>
  <si>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</si>
  <si>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</si>
  <si>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</si>
  <si>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</si>
  <si>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</si>
  <si>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</si>
  <si>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</si>
  <si>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</si>
  <si>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</si>
  <si>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</si>
  <si>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</si>
  <si>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</si>
  <si>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</si>
  <si>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</si>
  <si>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</si>
  <si>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</si>
  <si>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</si>
  <si>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</si>
  <si>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</si>
  <si>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</si>
  <si>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</si>
  <si>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</si>
  <si>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</si>
  <si>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</si>
  <si>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</si>
  <si>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</si>
  <si>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</si>
  <si>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</si>
  <si>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</si>
  <si>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</si>
  <si>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</si>
  <si>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</si>
  <si>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</si>
  <si>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</si>
  <si>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</si>
  <si>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</si>
  <si>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</si>
  <si>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</si>
  <si>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</si>
  <si>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</si>
  <si>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</si>
  <si>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</si>
  <si>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</si>
  <si>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</si>
  <si>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</si>
  <si>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</si>
  <si>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</si>
  <si>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</si>
  <si>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</si>
  <si>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</si>
  <si>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</si>
  <si>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</si>
  <si>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</si>
  <si>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</si>
  <si>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</si>
  <si>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</si>
  <si>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</si>
  <si>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</si>
  <si>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</si>
  <si>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</si>
  <si>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</si>
  <si>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</si>
  <si>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</si>
  <si>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</si>
  <si>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</si>
  <si>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</si>
  <si>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</si>
  <si>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</si>
  <si>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</si>
  <si>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</si>
  <si>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</si>
  <si>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</si>
  <si>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</si>
  <si>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</si>
  <si>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</si>
  <si>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</si>
  <si>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</si>
  <si>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</si>
  <si>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</si>
  <si>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</si>
  <si>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</si>
  <si>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</si>
  <si>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</si>
  <si>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</si>
  <si>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</si>
  <si>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</si>
  <si>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</si>
  <si>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</si>
  <si>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</si>
  <si>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</si>
  <si>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</si>
  <si>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</si>
  <si>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</si>
  <si>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</si>
  <si>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</si>
  <si>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</si>
  <si>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</si>
  <si>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</si>
  <si>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</si>
  <si>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</si>
  <si>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</si>
  <si>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</si>
  <si>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</si>
  <si>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</si>
  <si>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</si>
  <si>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</si>
  <si>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</si>
  <si>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</si>
  <si>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</si>
  <si>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</si>
  <si>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</si>
  <si>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</si>
  <si>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</si>
  <si>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</si>
  <si>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</si>
  <si>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</si>
  <si>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</si>
  <si>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</si>
  <si>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</si>
  <si>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</si>
  <si>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</si>
  <si>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</si>
  <si>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</si>
  <si>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</si>
  <si>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</si>
  <si>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</si>
  <si>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</si>
  <si>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</si>
  <si>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</si>
  <si>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</si>
  <si>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</si>
  <si>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</si>
  <si>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</si>
  <si>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</si>
  <si>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</si>
  <si>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</si>
  <si>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</si>
  <si>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</si>
  <si>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</si>
  <si>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</si>
  <si>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</si>
  <si>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</si>
  <si>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</si>
  <si>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</si>
  <si>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</si>
  <si>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</si>
  <si>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</si>
  <si>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</si>
  <si>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</si>
  <si>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</si>
  <si>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</si>
  <si>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</si>
  <si>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</si>
  <si>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</si>
  <si>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</si>
  <si>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</si>
  <si>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</si>
  <si>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</si>
  <si>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</si>
  <si>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</si>
  <si>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</si>
  <si>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</si>
  <si>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</si>
  <si>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</si>
  <si>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</si>
  <si>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</si>
  <si>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</si>
  <si>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</si>
  <si>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</si>
  <si>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</si>
  <si>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</si>
  <si>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</si>
  <si>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</si>
  <si>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</si>
  <si>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</si>
  <si>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</si>
  <si>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</si>
  <si>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</si>
  <si>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</si>
  <si>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</si>
  <si>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</si>
  <si>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</si>
  <si>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</si>
  <si>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</si>
  <si>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</si>
  <si>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</si>
  <si>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</si>
  <si>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</si>
  <si>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</si>
  <si>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</si>
  <si>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</si>
  <si>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</si>
  <si>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</si>
  <si>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</si>
  <si>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</si>
  <si>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</si>
  <si>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</si>
  <si>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</si>
  <si>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</si>
  <si>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</si>
  <si>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</si>
  <si>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</si>
  <si>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</si>
  <si>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</si>
  <si>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</si>
  <si>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</si>
  <si>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</si>
  <si>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</si>
  <si>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</si>
  <si>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</si>
  <si>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</si>
  <si>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</si>
  <si>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</si>
  <si>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</si>
  <si>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</si>
  <si>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</si>
  <si>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</si>
  <si>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</si>
  <si>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</si>
  <si>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</si>
  <si>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</si>
  <si>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</si>
  <si>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</si>
  <si>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</si>
  <si>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</si>
  <si>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</si>
  <si>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</si>
  <si>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</si>
  <si>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</si>
  <si>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</si>
  <si>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</si>
  <si>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</si>
  <si>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</si>
  <si>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</si>
  <si>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</si>
  <si>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</si>
  <si>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</si>
  <si>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</si>
  <si>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</si>
  <si>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</si>
  <si>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</si>
  <si>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</si>
  <si>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</si>
  <si>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</si>
  <si>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</si>
  <si>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</si>
  <si>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</si>
  <si>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</si>
  <si>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</si>
  <si>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</si>
  <si>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</si>
  <si>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</si>
  <si>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</si>
  <si>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</si>
  <si>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</si>
  <si>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</si>
  <si>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</si>
  <si>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</si>
  <si>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</si>
  <si>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</si>
  <si>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</si>
  <si>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</si>
  <si>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</si>
  <si>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</si>
  <si>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</si>
  <si>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</si>
  <si>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</si>
  <si>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</si>
  <si>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</si>
  <si>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</si>
  <si>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</si>
  <si>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</si>
  <si>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</si>
  <si>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</si>
  <si>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</si>
  <si>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</si>
  <si>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</si>
  <si>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</si>
  <si>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</si>
  <si>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</si>
  <si>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</si>
  <si>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</si>
  <si>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</si>
  <si>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</si>
  <si>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</si>
  <si>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</si>
  <si>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</si>
  <si>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</si>
  <si>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</si>
  <si>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</si>
  <si>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</si>
  <si>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</si>
  <si>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</si>
  <si>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</si>
  <si>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</si>
  <si>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</si>
  <si>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</si>
  <si>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</si>
  <si>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</si>
  <si>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</si>
  <si>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</si>
  <si>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</si>
  <si>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</si>
  <si>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</si>
  <si>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</si>
  <si>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</si>
  <si>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</si>
  <si>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</si>
  <si>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</si>
  <si>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</si>
  <si>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</si>
  <si>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</si>
  <si>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</si>
  <si>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</si>
  <si>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</si>
  <si>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</si>
  <si>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</si>
  <si>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</si>
  <si>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</si>
  <si>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</si>
  <si>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</si>
  <si>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</si>
  <si>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</si>
  <si>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</si>
  <si>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</si>
  <si>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</si>
  <si>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</si>
  <si>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</si>
  <si>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</si>
  <si>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</si>
  <si>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</si>
  <si>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</si>
  <si>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</si>
  <si>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</si>
  <si>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</si>
  <si>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</si>
  <si>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</si>
  <si>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</si>
  <si>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</si>
  <si>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</si>
  <si>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</si>
  <si>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</si>
  <si>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</si>
  <si>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</si>
  <si>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</si>
  <si>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</si>
  <si>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</si>
  <si>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</si>
  <si>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</si>
  <si>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</si>
  <si>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</si>
  <si>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</si>
  <si>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</si>
  <si>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</si>
  <si>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</si>
  <si>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</si>
  <si>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</si>
  <si>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</si>
  <si>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</si>
  <si>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</si>
  <si>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</si>
  <si>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</si>
  <si>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</si>
  <si>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</si>
  <si>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</si>
  <si>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</si>
  <si>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</si>
  <si>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</si>
  <si>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</si>
  <si>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</si>
  <si>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</si>
  <si>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</si>
  <si>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</si>
  <si>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</si>
  <si>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</si>
  <si>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</si>
  <si>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</si>
  <si>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</si>
  <si>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</si>
  <si>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</si>
  <si>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</si>
  <si>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</si>
  <si>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</si>
  <si>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</si>
  <si>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</si>
  <si>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</si>
  <si>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</si>
  <si>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</si>
  <si>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</si>
  <si>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</si>
  <si>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</si>
  <si>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</si>
  <si>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</si>
  <si>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</si>
  <si>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</si>
  <si>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</si>
  <si>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</si>
  <si>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</si>
  <si>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</si>
  <si>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</si>
  <si>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</si>
  <si>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</si>
  <si>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</si>
  <si>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</si>
  <si>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</si>
  <si>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</si>
  <si>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</si>
  <si>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</si>
  <si>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</si>
  <si>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</si>
  <si>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</si>
  <si>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</si>
  <si>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</si>
  <si>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</si>
  <si>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</si>
  <si>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</si>
  <si>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</si>
  <si>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</si>
  <si>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</si>
  <si>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</si>
  <si>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</si>
  <si>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</si>
  <si>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</si>
  <si>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</si>
  <si>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</si>
  <si>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</si>
  <si>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</si>
  <si>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</si>
  <si>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</si>
  <si>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</si>
  <si>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</si>
  <si>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</si>
  <si>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</si>
  <si>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</si>
  <si>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</si>
  <si>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</si>
  <si>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</si>
  <si>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</si>
  <si>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</si>
  <si>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</si>
  <si>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</si>
  <si>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</si>
  <si>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</si>
  <si>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</si>
  <si>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</si>
  <si>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</si>
  <si>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</si>
  <si>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</si>
  <si>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</si>
  <si>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</si>
  <si>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</si>
  <si>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</si>
  <si>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</si>
  <si>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</si>
  <si>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</si>
  <si>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</si>
  <si>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</si>
  <si>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</si>
  <si>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</si>
  <si>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</si>
  <si>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</si>
  <si>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</si>
  <si>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</si>
  <si>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</si>
  <si>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</si>
  <si>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</si>
  <si>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</si>
  <si>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</si>
  <si>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</si>
  <si>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</si>
  <si>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</si>
  <si>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</si>
  <si>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</si>
  <si>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</si>
  <si>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</si>
  <si>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</si>
  <si>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</si>
  <si>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</si>
  <si>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</si>
  <si>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</si>
  <si>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</si>
  <si>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</si>
  <si>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</si>
  <si>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</si>
  <si>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</si>
  <si>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</si>
  <si>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</si>
  <si>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</si>
  <si>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</si>
  <si>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</si>
  <si>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</si>
  <si>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</si>
  <si>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</si>
  <si>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</si>
  <si>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</si>
  <si>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</si>
  <si>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</si>
  <si>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</si>
  <si>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</si>
  <si>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</si>
  <si>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</si>
  <si>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</si>
  <si>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</si>
  <si>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</si>
  <si>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</si>
  <si>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</si>
  <si>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</si>
  <si>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</si>
  <si>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</si>
  <si>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</si>
  <si>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</si>
  <si>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</si>
  <si>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</si>
  <si>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</si>
  <si>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</si>
  <si>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</si>
  <si>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</si>
  <si>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</si>
  <si>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</si>
  <si>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</si>
  <si>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</si>
  <si>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</si>
  <si>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</si>
  <si>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</si>
  <si>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</si>
  <si>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</si>
  <si>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</si>
  <si>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</si>
  <si>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</si>
  <si>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</si>
  <si>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</si>
  <si>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</si>
  <si>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</si>
  <si>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</si>
  <si>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</si>
  <si>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</si>
  <si>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</si>
  <si>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</si>
  <si>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</si>
  <si>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</si>
  <si>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</si>
  <si>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</si>
  <si>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</si>
  <si>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</si>
  <si>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</si>
  <si>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</si>
  <si>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</si>
  <si>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</si>
  <si>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</si>
  <si>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</si>
  <si>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</si>
  <si>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</si>
  <si>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</si>
  <si>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</si>
  <si>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</si>
  <si>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</si>
  <si>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</si>
  <si>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</si>
  <si>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</si>
  <si>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</si>
  <si>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</si>
  <si>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</si>
  <si>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</si>
  <si>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</si>
  <si>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</si>
  <si>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</si>
  <si>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</si>
  <si>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</si>
  <si>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</si>
  <si>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</si>
  <si>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</si>
  <si>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</si>
  <si>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</si>
  <si>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</si>
  <si>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</si>
  <si>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</si>
  <si>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</si>
  <si>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</si>
  <si>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</si>
  <si>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</si>
  <si>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</si>
  <si>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</si>
  <si>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</si>
  <si>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</si>
  <si>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</si>
  <si>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</si>
  <si>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</si>
  <si>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</si>
  <si>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</si>
  <si>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</si>
  <si>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</si>
  <si>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</si>
  <si>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</si>
  <si>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</si>
  <si>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</si>
  <si>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</si>
  <si>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</si>
  <si>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</si>
  <si>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</si>
  <si>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</si>
  <si>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</si>
  <si>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</si>
  <si>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</si>
  <si>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</si>
  <si>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</si>
  <si>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</si>
  <si>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</si>
  <si>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</si>
  <si>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</si>
  <si>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</si>
  <si>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</si>
  <si>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</si>
  <si>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</si>
  <si>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</si>
  <si>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</si>
  <si>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</si>
  <si>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</si>
  <si>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</si>
  <si>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</si>
  <si>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</si>
  <si>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</si>
  <si>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</si>
  <si>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</si>
  <si>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</si>
  <si>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</si>
  <si>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</si>
  <si>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</si>
  <si>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</si>
  <si>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</si>
  <si>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</si>
  <si>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</si>
  <si>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</si>
  <si>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</si>
  <si>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</si>
  <si>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</si>
  <si>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</si>
  <si>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</si>
  <si>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</si>
  <si>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</si>
  <si>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</si>
  <si>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</si>
  <si>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</si>
  <si>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</si>
  <si>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</si>
  <si>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</si>
  <si>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</si>
  <si>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</si>
  <si>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</si>
  <si>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</si>
  <si>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</si>
  <si>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</si>
  <si>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</si>
  <si>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</si>
  <si>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</si>
  <si>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</si>
  <si>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</si>
  <si>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</si>
  <si>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</si>
  <si>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</si>
  <si>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</si>
  <si>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</si>
  <si>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</si>
  <si>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</si>
  <si>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</si>
  <si>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</si>
  <si>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</si>
  <si>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</si>
  <si>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</si>
  <si>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</si>
  <si>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</si>
  <si>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</si>
  <si>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</si>
  <si>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</si>
  <si>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</si>
  <si>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</si>
  <si>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</si>
  <si>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</si>
  <si>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</si>
  <si>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</si>
  <si>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</si>
  <si>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</si>
  <si>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</si>
  <si>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</si>
  <si>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</si>
  <si>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</si>
  <si>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</si>
  <si>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</si>
  <si>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</si>
  <si>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</si>
  <si>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</si>
  <si>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</si>
  <si>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</si>
  <si>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</si>
  <si>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</si>
  <si>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</si>
  <si>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</si>
  <si>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</si>
  <si>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</si>
  <si>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</si>
  <si>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</si>
  <si>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</si>
  <si>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</si>
  <si>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</si>
  <si>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</si>
  <si>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</si>
  <si>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</si>
  <si>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</si>
  <si>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</si>
  <si>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</si>
  <si>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</si>
  <si>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</si>
  <si>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</si>
  <si>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</si>
  <si>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</si>
  <si>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</si>
  <si>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</si>
  <si>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</si>
  <si>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</si>
  <si>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</si>
  <si>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</si>
  <si>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</si>
  <si>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</si>
  <si>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</si>
  <si>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</si>
  <si>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</si>
  <si>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</si>
  <si>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</si>
  <si>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</si>
  <si>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</si>
  <si>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</si>
  <si>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</si>
  <si>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</si>
  <si>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</si>
  <si>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</si>
  <si>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</si>
  <si>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</si>
  <si>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</si>
  <si>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</si>
  <si>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</si>
  <si>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</si>
  <si>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</si>
  <si>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</si>
  <si>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</si>
  <si>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</si>
  <si>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</si>
  <si>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</si>
  <si>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</si>
  <si>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</si>
  <si>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</si>
  <si>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</si>
  <si>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</si>
  <si>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</si>
  <si>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</si>
  <si>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</si>
  <si>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</si>
  <si>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</si>
  <si>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</si>
  <si>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</si>
  <si>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</si>
  <si>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</si>
  <si>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</si>
  <si>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</si>
  <si>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</si>
  <si>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</si>
  <si>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</si>
  <si>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</si>
  <si>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</si>
  <si>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</si>
  <si>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</si>
  <si>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</si>
  <si>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</si>
  <si>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</si>
  <si>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</si>
  <si>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</si>
  <si>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</si>
  <si>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</si>
  <si>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</si>
  <si>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</si>
  <si>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</si>
  <si>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</si>
  <si>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</si>
  <si>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</si>
  <si>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</si>
  <si>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</si>
  <si>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</si>
  <si>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</si>
  <si>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</si>
  <si>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</si>
  <si>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</si>
  <si>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</si>
  <si>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</si>
  <si>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</si>
  <si>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</si>
  <si>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</si>
  <si>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</si>
  <si>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</si>
  <si>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</si>
  <si>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</si>
  <si>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</si>
  <si>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</si>
  <si>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</si>
  <si>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</si>
  <si>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</si>
  <si>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</si>
  <si>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</si>
  <si>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</si>
  <si>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</si>
  <si>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</si>
  <si>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</si>
  <si>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</si>
  <si>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</si>
  <si>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</si>
  <si>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</si>
  <si>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</si>
  <si>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</si>
  <si>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</si>
  <si>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</si>
  <si>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</si>
  <si>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</si>
  <si>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</si>
  <si>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</si>
  <si>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</si>
  <si>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</si>
  <si>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</si>
  <si>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</si>
  <si>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</si>
  <si>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</si>
  <si>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</si>
  <si>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</si>
  <si>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</si>
  <si>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</si>
  <si>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</si>
  <si>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</si>
  <si>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</si>
  <si>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</si>
  <si>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</si>
  <si>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</si>
  <si>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</si>
  <si>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</si>
  <si>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</si>
  <si>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</si>
  <si>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</si>
  <si>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</si>
  <si>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</si>
  <si>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</si>
  <si>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</si>
  <si>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</si>
  <si>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</si>
  <si>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</si>
  <si>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</si>
  <si>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</si>
  <si>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</si>
  <si>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</si>
  <si>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</si>
  <si>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</si>
  <si>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</si>
  <si>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</si>
  <si>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</si>
  <si>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</si>
  <si>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</si>
  <si>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</si>
  <si>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</si>
  <si>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</si>
  <si>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</si>
  <si>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</si>
  <si>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</si>
  <si>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</si>
  <si>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</si>
  <si>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</si>
  <si>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</si>
  <si>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</si>
  <si>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</si>
  <si>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</si>
  <si>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</si>
  <si>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</si>
  <si>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</si>
  <si>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</si>
  <si>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</si>
  <si>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</si>
  <si>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</si>
  <si>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</si>
  <si>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</si>
  <si>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</si>
  <si>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</si>
  <si>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</si>
  <si>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</si>
  <si>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</si>
  <si>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</si>
  <si>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</si>
  <si>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</si>
  <si>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</si>
  <si>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</si>
  <si>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</si>
  <si>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</si>
  <si>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</si>
  <si>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</si>
  <si>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</si>
  <si>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</si>
  <si>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</si>
  <si>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</si>
  <si>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</si>
  <si>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</si>
  <si>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</si>
  <si>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</si>
  <si>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</si>
  <si>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</si>
  <si>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</si>
  <si>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</si>
  <si>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</si>
  <si>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</si>
  <si>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</si>
  <si>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</si>
  <si>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</si>
  <si>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</si>
  <si>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</si>
  <si>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</si>
  <si>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</si>
  <si>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</si>
  <si>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</si>
  <si>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</si>
  <si>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</si>
  <si>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</si>
  <si>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</si>
  <si>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</si>
  <si>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</si>
  <si>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</si>
  <si>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</si>
  <si>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</si>
  <si>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</si>
  <si>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</si>
  <si>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</si>
  <si>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</si>
  <si>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</si>
  <si>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</si>
  <si>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</si>
  <si>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</si>
  <si>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</si>
  <si>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</si>
  <si>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</si>
  <si>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</si>
  <si>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</si>
  <si>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</si>
  <si>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</si>
  <si>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</si>
  <si>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</si>
  <si>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</si>
  <si>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</si>
  <si>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</si>
  <si>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</si>
  <si>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</si>
  <si>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</si>
  <si>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</si>
  <si>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</si>
  <si>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</si>
  <si>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</si>
  <si>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</si>
  <si>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</si>
  <si>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</si>
  <si>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</si>
  <si>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</si>
  <si>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</si>
  <si>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</si>
  <si>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</si>
  <si>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</si>
  <si>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</si>
  <si>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</si>
  <si>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</si>
  <si>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</si>
  <si>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</si>
  <si>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</si>
  <si>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</si>
  <si>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</si>
  <si>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</si>
  <si>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</si>
  <si>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</si>
  <si>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</si>
  <si>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</si>
  <si>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</si>
  <si>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</si>
  <si>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</si>
  <si>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</si>
  <si>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</si>
  <si>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</si>
  <si>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</si>
  <si>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</si>
  <si>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</si>
  <si>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</si>
  <si>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</si>
  <si>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</si>
  <si>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</si>
  <si>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</si>
  <si>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</si>
  <si>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</si>
  <si>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</si>
  <si>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</si>
  <si>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</si>
  <si>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</si>
  <si>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</si>
  <si>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</si>
  <si>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</si>
  <si>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</si>
  <si>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</si>
  <si>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</si>
  <si>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</si>
  <si>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</si>
  <si>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</si>
  <si>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</si>
  <si>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</si>
  <si>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</si>
  <si>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</si>
  <si>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</si>
  <si>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</si>
  <si>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</si>
  <si>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</si>
  <si>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</si>
  <si>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</si>
  <si>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</si>
  <si>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</si>
  <si>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</si>
  <si>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</si>
  <si>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</si>
  <si>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</si>
  <si>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</si>
  <si>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</si>
  <si>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</si>
  <si>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</si>
  <si>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</si>
  <si>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</si>
  <si>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</si>
  <si>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</si>
  <si>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</si>
  <si>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</si>
  <si>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</si>
  <si>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</si>
  <si>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</si>
  <si>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</si>
  <si>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</si>
  <si>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</si>
  <si>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</si>
  <si>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</si>
  <si>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</si>
  <si>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</si>
  <si>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</si>
  <si>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</si>
  <si>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</si>
  <si>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</si>
  <si>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</si>
  <si>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</si>
  <si>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</si>
  <si>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</si>
  <si>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</si>
  <si>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</si>
  <si>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</si>
  <si>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</si>
  <si>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</si>
  <si>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</si>
  <si>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</si>
  <si>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</si>
  <si>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</si>
  <si>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</si>
  <si>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</si>
  <si>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</si>
  <si>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</si>
  <si>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</si>
  <si>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</si>
  <si>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</si>
  <si>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</si>
  <si>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</si>
  <si>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</si>
  <si>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</si>
  <si>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</si>
  <si>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</si>
  <si>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</si>
  <si>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</si>
  <si>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</si>
  <si>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</si>
  <si>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</si>
  <si>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</si>
  <si>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</si>
  <si>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</si>
  <si>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</si>
  <si>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</si>
  <si>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</si>
  <si>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</si>
  <si>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</si>
  <si>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</si>
  <si>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</si>
  <si>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</si>
  <si>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</si>
  <si>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</si>
  <si>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</si>
  <si>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</si>
  <si>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</si>
  <si>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</si>
  <si>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</si>
  <si>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</si>
  <si>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</si>
  <si>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</si>
  <si>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</si>
  <si>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</si>
  <si>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</si>
  <si>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</si>
  <si>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</si>
  <si>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</si>
  <si>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</si>
  <si>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</si>
  <si>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</si>
  <si>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</si>
  <si>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</si>
  <si>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</si>
  <si>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</si>
  <si>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</si>
  <si>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</si>
  <si>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</si>
  <si>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</si>
  <si>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</si>
  <si>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</si>
  <si>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</si>
  <si>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</si>
  <si>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</si>
  <si>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</si>
  <si>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</si>
  <si>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</si>
  <si>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</si>
  <si>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</si>
  <si>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</si>
  <si>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</si>
  <si>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</si>
  <si>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</si>
  <si>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</si>
  <si>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</si>
  <si>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</si>
  <si>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</si>
  <si>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</si>
  <si>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</si>
  <si>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</si>
  <si>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</si>
  <si>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</si>
  <si>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</si>
  <si>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</si>
  <si>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</si>
  <si>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</si>
  <si>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</si>
  <si>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</si>
  <si>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</si>
  <si>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</si>
  <si>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</si>
  <si>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</si>
  <si>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</si>
  <si>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</si>
  <si>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</si>
  <si>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</si>
  <si>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</si>
  <si>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</si>
  <si>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</si>
  <si>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</si>
  <si>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</si>
  <si>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</si>
  <si>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</si>
  <si>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</si>
  <si>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</si>
  <si>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</si>
  <si>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</si>
  <si>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</si>
  <si>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</si>
  <si>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</si>
  <si>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</si>
  <si>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</si>
  <si>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</si>
  <si>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</si>
  <si>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</si>
  <si>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</si>
  <si>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</si>
  <si>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</si>
  <si>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</si>
  <si>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</si>
  <si>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</si>
  <si>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</si>
  <si>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</si>
  <si>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</si>
  <si>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</si>
  <si>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</si>
  <si>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</si>
  <si>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</si>
  <si>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</si>
  <si>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</si>
  <si>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</si>
  <si>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</si>
  <si>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</si>
  <si>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</si>
  <si>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</si>
  <si>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</si>
  <si>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</si>
  <si>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</si>
  <si>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</si>
  <si>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</si>
  <si>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</si>
  <si>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</si>
  <si>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</si>
  <si>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</si>
  <si>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</si>
  <si>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</si>
  <si>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</si>
  <si>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</si>
  <si>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</si>
  <si>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</si>
  <si>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</si>
  <si>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</si>
  <si>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</si>
  <si>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</si>
  <si>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</si>
  <si>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</si>
  <si>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</si>
  <si>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</si>
  <si>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</si>
  <si>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</si>
  <si>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</si>
  <si>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</si>
  <si>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</si>
  <si>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</si>
  <si>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</si>
  <si>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</si>
  <si>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</si>
  <si>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</si>
  <si>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</si>
  <si>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</si>
  <si>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</si>
  <si>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</si>
  <si>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</si>
  <si>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</si>
  <si>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</si>
  <si>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</si>
  <si>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</si>
  <si>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</si>
  <si>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</si>
  <si>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</si>
  <si>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</si>
  <si>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</si>
  <si>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</si>
  <si>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</si>
  <si>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</si>
  <si>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</si>
  <si>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</si>
  <si>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</si>
  <si>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</si>
  <si>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</si>
  <si>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</si>
  <si>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</si>
  <si>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</si>
  <si>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</si>
  <si>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</si>
  <si>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</si>
  <si>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</si>
  <si>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</si>
  <si>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</si>
  <si>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</si>
  <si>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</si>
  <si>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</si>
  <si>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</si>
  <si>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</si>
  <si>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</si>
  <si>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</si>
  <si>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</si>
  <si>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</si>
  <si>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</si>
  <si>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</si>
  <si>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</si>
  <si>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</si>
  <si>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</si>
  <si>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</si>
  <si>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</si>
  <si>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</si>
  <si>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</si>
  <si>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</si>
  <si>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</si>
  <si>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</si>
  <si>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</si>
  <si>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</si>
  <si>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</si>
  <si>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</si>
  <si>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</si>
  <si>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</si>
  <si>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</si>
  <si>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</si>
  <si>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</si>
  <si>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</si>
  <si>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</si>
  <si>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</si>
  <si>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</si>
  <si>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</si>
  <si>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</si>
  <si>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</si>
  <si>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</si>
  <si>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</si>
  <si>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</si>
  <si>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</si>
  <si>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</si>
  <si>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</si>
  <si>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</si>
  <si>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</si>
  <si>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</si>
  <si>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</si>
  <si>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</si>
  <si>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</si>
  <si>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</si>
  <si>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</si>
  <si>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</si>
  <si>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</si>
  <si>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</si>
  <si>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</si>
  <si>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</si>
  <si>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</si>
  <si>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</si>
  <si>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</si>
  <si>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</si>
  <si>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</si>
  <si>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</si>
  <si>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</si>
  <si>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</si>
  <si>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</si>
  <si>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</si>
  <si>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</si>
  <si>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</si>
  <si>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</si>
  <si>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</si>
  <si>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</si>
  <si>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</si>
  <si>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</si>
  <si>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</si>
  <si>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</si>
  <si>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</si>
  <si>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</si>
  <si>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</si>
  <si>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</si>
  <si>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</si>
  <si>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</si>
  <si>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</si>
  <si>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</si>
  <si>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</si>
  <si>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</si>
  <si>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</si>
  <si>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</si>
  <si>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</si>
  <si>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</si>
  <si>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</si>
  <si>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</si>
  <si>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</si>
  <si>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</si>
  <si>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</si>
  <si>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Orders</t>
  </si>
  <si>
    <t>Count of TX ID</t>
  </si>
  <si>
    <t>Sum of Quantity</t>
  </si>
  <si>
    <t>Sum of Amount</t>
  </si>
  <si>
    <t>Average of Rating C</t>
  </si>
  <si>
    <t>Average of Days to Deliver</t>
  </si>
  <si>
    <t>For Display</t>
  </si>
  <si>
    <t>Avg.Ratings</t>
  </si>
  <si>
    <t>Avg.Days</t>
  </si>
  <si>
    <t>Row Labels</t>
  </si>
  <si>
    <t>Grand Total</t>
  </si>
  <si>
    <t>Column Labels</t>
  </si>
  <si>
    <t>For Matrix</t>
  </si>
  <si>
    <t>Female</t>
  </si>
  <si>
    <t>Male</t>
  </si>
  <si>
    <t>Other</t>
  </si>
  <si>
    <t>Unknown</t>
  </si>
  <si>
    <t>6 - 10</t>
  </si>
  <si>
    <t>More than 10</t>
  </si>
  <si>
    <t>For chart(Quantity)</t>
  </si>
  <si>
    <t>For Chart(Amount)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</si>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</sst>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6" formatCode="0.0%"/>
  </numFmts>
  <fonts count="1" x14ac:knownFonts="1">
    <font>
      <sz val="11"/>
      <color theme="1"/>
      <name val="Aptos Narrow"/>
      <family val="2"/>
      <scheme val="minor"/>
    </font>
  </fonts>
  <fills count="3">
    <fill>
      <patternFill patternType="none"/>
    </fill>
    <fill>
      <patternFill patternType="gray125"/>
    </fill>
    <fill>
      <patternFill patternType="solid">
        <fgColor rgb="FF00B050"/>
        <bgColor indexed="64"/>
      </patternFill>
    </fill>
  </fills>
  <borders count="5">
    <border>
      <left/>
      <right/>
      <top/>
      <bottom/>
      <diagonal/>
    </border>
    <border>
      <left style="thick">
        <color rgb="FFF8FAFC"/>
      </left>
      <right style="thick">
        <color rgb="FFF8FAFC"/>
      </right>
      <top style="thick">
        <color rgb="FFF8FAFC"/>
      </top>
      <bottom style="thick">
        <color rgb="FFF8FAFC"/>
      </bottom>
      <diagonal/>
    </border>
    <border>
      <left style="thin">
        <color rgb="FFF8FAFC"/>
      </left>
      <right/>
      <top style="thin">
        <color rgb="FFF8FAFC"/>
      </top>
      <bottom/>
      <diagonal/>
    </border>
    <border>
      <left/>
      <right/>
      <top style="thin">
        <color rgb="FFF8FAFC"/>
      </top>
      <bottom/>
      <diagonal/>
    </border>
    <border>
      <left/>
      <right style="thin">
        <color rgb="FFF8FAFC"/>
      </right>
      <top style="thin">
        <color rgb="FFF8FAFC"/>
      </top>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0" fontId="0" fillId="0" borderId="0" xfId="0" applyNumberFormat="1"/>
    <xf numFmtId="0" fontId="0" fillId="0" borderId="2" xfId="0" applyBorder="1"/>
    <xf numFmtId="0" fontId="0" fillId="0" borderId="3" xfId="0" applyBorder="1"/>
    <xf numFmtId="0" fontId="0" fillId="0" borderId="4" xfId="0" applyBorder="1"/>
    <xf numFmtId="0" fontId="0" fillId="0" borderId="1" xfId="0" applyBorder="1"/>
    <xf numFmtId="166" fontId="0" fillId="0" borderId="1" xfId="0" applyNumberFormat="1" applyBorder="1"/>
  </cellXfs>
  <cellStyles count="1">
    <cellStyle name="Normal" xfId="0" builtinId="0"/>
  </cellStyles>
  <dxfs count="7">
    <dxf>
      <font>
        <b/>
        <i val="0"/>
        <color rgb="FF334155"/>
      </font>
      <fill>
        <patternFill>
          <fgColor rgb="FFF8FAFC"/>
        </patternFill>
      </fill>
    </dxf>
    <dxf>
      <fill>
        <patternFill>
          <fgColor rgb="FFF8FAFC"/>
        </patternFill>
      </fill>
    </dxf>
    <dxf>
      <numFmt numFmtId="0" formatCode="General"/>
    </dxf>
    <dxf>
      <numFmt numFmtId="0" formatCode="General"/>
    </dxf>
    <dxf>
      <numFmt numFmtId="0" formatCode="General"/>
    </dxf>
    <dxf>
      <numFmt numFmtId="165" formatCode="d\-mmm\-yy"/>
    </dxf>
    <dxf>
      <numFmt numFmtId="165" formatCode="d\-mmm\-yy"/>
    </dxf>
  </dxfs>
  <tableStyles count="2" defaultTableStyle="TableStyleMedium2" defaultPivotStyle="PivotStyleLight16">
    <tableStyle name="Slicer Style 1" pivot="0" table="0" count="1" xr9:uid="{F976A49C-44B7-49FD-9227-F7367A9FC9C6}">
      <tableStyleElement type="wholeTable" dxfId="1"/>
    </tableStyle>
    <tableStyle name="Slicer Style 2" pivot="0" table="0" count="6" xr9:uid="{96A00F4E-2993-49A6-ABD3-BAE6C42A8848}">
      <tableStyleElement type="headerRow" dxfId="0"/>
    </tableStyle>
  </tableStyles>
  <colors>
    <mruColors>
      <color rgb="FF475569"/>
      <color rgb="FF334155"/>
      <color rgb="FF64748B"/>
      <color rgb="FFF59E0B"/>
      <color rgb="FF1E3A8A"/>
      <color rgb="FF2563EB"/>
      <color rgb="FFDBEAFE"/>
      <color rgb="FFF8FAFC"/>
      <color rgb="FF93C5FD"/>
      <color rgb="FFE2E8F0"/>
    </mruColors>
  </colors>
  <extLst>
    <ext xmlns:x14="http://schemas.microsoft.com/office/spreadsheetml/2009/9/main" uri="{46F421CA-312F-682f-3DD2-61675219B42D}">
      <x14:dxfs count="4">
        <dxf>
          <font>
            <color theme="0"/>
          </font>
          <fill>
            <patternFill>
              <fgColor rgb="FF2563EB"/>
            </patternFill>
          </fill>
        </dxf>
        <dxf>
          <font>
            <color theme="0"/>
          </font>
          <fill>
            <patternFill>
              <fgColor rgb="FF2563EB"/>
            </patternFill>
          </fill>
        </dxf>
        <dxf>
          <fill>
            <patternFill>
              <fgColor rgb="FFDBEAFE"/>
            </patternFill>
          </fill>
        </dxf>
        <dxf>
          <font>
            <color rgb="FF1E3A8A"/>
          </font>
          <fill>
            <patternFill>
              <fgColor rgb="FFDBEAFE"/>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[ecommerce-blank.xlsx]pivot_backend!pivotTrend</c:name>
    <c:fmtId val="9"/>
  </c:pivotSource>
  <c:chart>
    <c:title>
      <c:tx>
        <c:rich>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r>
              <a:rPr lang="en-IN" sz="1400" b="1">
                <a:solidFill>
                  <a:srgbClr val="334155"/>
                </a:solidFill>
              </a:rPr>
              <a:t>Last</a:t>
            </a:r>
            <a:r>
              <a:rPr lang="en-IN" sz="1400" b="1" baseline="0">
                <a:solidFill>
                  <a:srgbClr val="334155"/>
                </a:solidFill>
              </a:rPr>
              <a:t> 13 weeks Trend - Qty &amp; Amount</a:t>
            </a:r>
            <a:endParaRPr lang="en-IN" sz="1400" b="1">
              <a:solidFill>
                <a:srgbClr val="33415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pivot_backend!$B$10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pivot_backend!$A$11:$A$24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pivot_backend!$B$11:$B$24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2E0-47BE-9762-F87FCE52DE44}"/>
            </c:ext>
          </c:extLst>
        </c:ser>
        <c:dLbls>
          <c:showLegendKey val="0"/>
          <c:showVal val="0"/>
          <c:showCatName val="0"/>
          <c:showSerName val="0"/>
          <c:showPercent val="0"/>
          <c:showBubbleSize val="0"/>
        </c:dLbls>
        <c:marker val="1"/>
        <c:smooth val="0"/>
        <c:axId val="1515110160"/>
        <c:axId val="1515110640"/>
      </c:lineChart>
      <c:lineChart>
        <c:grouping val="standard"/>
        <c:varyColors val="0"/>
        <c:ser>
          <c:idx val="1"/>
          <c:order val="1"/>
          <c:tx>
            <c:strRef>
              <c:f>pivot_backend!$C$10</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pivot_backend!$A$11:$A$24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pivot_backend!$C$11:$C$24</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2E0-47BE-9762-F87FCE52DE44}"/>
            </c:ext>
          </c:extLst>
        </c:ser>
        <c:dLbls>
          <c:showLegendKey val="0"/>
          <c:showVal val="0"/>
          <c:showCatName val="0"/>
          <c:showSerName val="0"/>
          <c:showPercent val="0"/>
          <c:showBubbleSize val="0"/>
        </c:dLbls>
        <c:marker val="1"/>
        <c:smooth val="0"/>
        <c:axId val="1406548032"/>
        <c:axId val="1406560032"/>
      </c:lineChart>
      <c:catAx>
        <c:axId val="151511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15110640"/>
        <c:crosses val="autoZero"/>
        <c:auto val="1"/>
        <c:lblAlgn val="ctr"/>
        <c:lblOffset val="100"/>
        <c:noMultiLvlLbl val="0"/>
      </c:catAx>
      <c:valAx>
        <c:axId val="151511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1515110160"/>
        <c:crosses val="autoZero"/>
        <c:crossBetween val="between"/>
      </c:valAx>
      <c:valAx>
        <c:axId val="1406560032"/>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748B"/>
                </a:solidFill>
                <a:latin typeface="+mn-lt"/>
                <a:ea typeface="+mn-ea"/>
                <a:cs typeface="+mn-cs"/>
              </a:defRPr>
            </a:pPr>
            <a:endParaRPr lang="en-US"/>
          </a:p>
        </c:txPr>
        <c:crossAx val="1406548032"/>
        <c:crosses val="max"/>
        <c:crossBetween val="between"/>
      </c:valAx>
      <c:catAx>
        <c:axId val="1406548032"/>
        <c:scaling>
          <c:orientation val="minMax"/>
        </c:scaling>
        <c:delete val="1"/>
        <c:axPos val="b"/>
        <c:numFmt formatCode="General" sourceLinked="1"/>
        <c:majorTickMark val="out"/>
        <c:minorTickMark val="none"/>
        <c:tickLblPos val="nextTo"/>
        <c:crossAx val="14065600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[ecommerce-blank.xlsx]pivot_backend!pivotQuantity</c:name>
    <c:fmtId val="29"/>
  </c:pivotSource>
  <c:chart>
    <c:title>
      <c:tx>
        <c:rich>
          <a:bodyPr rot="0" spcFirstLastPara="1" vertOverflow="ellipsis" vert="horz" wrap="square" anchor="ctr" anchorCtr="1"/>
          <a:lstStyle/>
          <a:p>
            <a:pPr>
              <a:defRPr sz="1400" b="1" i="0" u="none" strike="noStrike" kern="1200" spc="0" baseline="0">
                <a:solidFill>
                  <a:srgbClr val="334155"/>
                </a:solidFill>
                <a:latin typeface="+mn-lt"/>
                <a:ea typeface="+mn-ea"/>
                <a:cs typeface="+mn-cs"/>
              </a:defRPr>
            </a:pPr>
            <a:r>
              <a:rPr lang="en-US" b="1">
                <a:solidFill>
                  <a:srgbClr val="334155"/>
                </a:solidFill>
                <a:latin typeface="+mj-lt"/>
              </a:rPr>
              <a:t>Quantity</a:t>
            </a:r>
            <a:r>
              <a:rPr lang="en-US" b="1" baseline="0">
                <a:solidFill>
                  <a:srgbClr val="334155"/>
                </a:solidFill>
                <a:latin typeface="+mj-lt"/>
              </a:rPr>
              <a:t> Brought By Customers</a:t>
            </a:r>
            <a:endParaRPr lang="en-US" b="1">
              <a:solidFill>
                <a:srgbClr val="334155"/>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3415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3415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pivot_backend!$B$34</c:f>
              <c:strCache>
                <c:ptCount val="1"/>
                <c:pt idx="0">
                  <c:v>Total</c:v>
                </c:pt>
              </c:strCache>
            </c:strRef>
          </c:tx>
          <c:spPr>
            <a:solidFill>
              <a:srgbClr val="25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3415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pivot_backend!$A$35:$A$42</c:f>
              <c:strCache>
                <c:ptCount val="7"/>
                <c:pt idx="0">
                  <c:v>1</c:v>
                </c:pt>
                <c:pt idx="1">
                  <c:v>2</c:v>
                </c:pt>
                <c:pt idx="2">
                  <c:v>3</c:v>
                </c:pt>
                <c:pt idx="3">
                  <c:v>4</c:v>
                </c:pt>
                <c:pt idx="4">
                  <c:v>5</c:v>
                </c:pt>
                <c:pt idx="5">
                  <c:v>6 - 10</c:v>
                </c:pt>
                <c:pt idx="6">
                  <c:v>More than 10</c:v>
                </c:pt>
              </c:strCache>
            </c:strRef>
          </c:cat>
          <c:val>
            <c:numRef>
              <c:f>pivot_backend!$B$35:$B$42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BAA-49D0-9F78-2E997B2F1778}"/>
            </c:ext>
          </c:extLst>
        </c:ser>
        <c:dLbls>
          <c:dLblPos val="outEnd"/>
          <c:showLegendKey val="0"/>
          <c:showVal val="1"/>
          <c:showCatName val="0"/>
          <c:showSerName val="0"/>
          <c:showPercent val="0"/>
          <c:showBubbleSize val="0"/>
        </c:dLbls>
        <c:gapWidth val="5"/>
        <c:overlap val="-27"/>
        <c:axId val="258049535"/>
        <c:axId val="258051455"/>
      </c:barChart>
      <c:catAx>
        <c:axId val="25804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258051455"/>
        <c:crosses val="autoZero"/>
        <c:auto val="1"/>
        <c:lblAlgn val="ctr"/>
        <c:lblOffset val="100"/>
        <c:noMultiLvlLbl val="0"/>
      </c:catAx>
      <c:valAx>
        <c:axId val="258051455"/>
        <c:scaling>
          <c:orientation val="minMax"/>
        </c:scaling>
        <c:delete val="1"/>
        <c:axPos val="l"/>
        <c:numFmt formatCode="General" sourceLinked="1"/>
        <c:majorTickMark val="none"/>
        <c:minorTickMark val="none"/>
        <c:tickLblPos val="nextTo"/>
        <c:crossAx val="25804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[ecommerce-blank.xlsx]pivot_backend!pivotDuration</c:name>
    <c:fmtId val="6"/>
  </c:pivotSource>
  <c:chart>
    <c:title>
      <c:tx>
        <c:rich>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r>
              <a:rPr lang="en-US" b="1">
                <a:solidFill>
                  <a:srgbClr val="334155"/>
                </a:solidFill>
                <a:latin typeface="+mj-lt"/>
              </a:rPr>
              <a:t>How</a:t>
            </a:r>
            <a:r>
              <a:rPr lang="en-US" b="1" baseline="0">
                <a:solidFill>
                  <a:srgbClr val="334155"/>
                </a:solidFill>
                <a:latin typeface="+mj-lt"/>
              </a:rPr>
              <a:t> long we take to ship?</a:t>
            </a:r>
            <a:endParaRPr lang="en-US" b="1">
              <a:solidFill>
                <a:srgbClr val="334155"/>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pivot_backend!$B$145</c:f>
              <c:strCache>
                <c:ptCount val="1"/>
                <c:pt idx="0">
                  <c:v>Total</c:v>
                </c:pt>
              </c:strCache>
            </c:strRef>
          </c:tx>
          <c:spPr>
            <a:solidFill>
              <a:srgbClr val="2563EB"/>
            </a:solidFill>
            <a:ln>
              <a:noFill/>
            </a:ln>
            <a:effectLst/>
          </c:spPr>
          <c:invertIfNegative val="0"/>
          <c:cat>
            <c:strRef>
              <c:f>pivot_backend!$A$146:$A$161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pivot_backend!$B$146:$B$161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4B54-445F-BD92-181D3BE71EEF}"/>
            </c:ext>
          </c:extLst>
        </c:ser>
        <c:dLbls>
          <c:showLegendKey val="0"/>
          <c:showVal val="0"/>
          <c:showCatName val="0"/>
          <c:showSerName val="0"/>
          <c:showPercent val="0"/>
          <c:showBubbleSize val="0"/>
        </c:dLbls>
        <c:gapWidth val="10"/>
        <c:overlap val="-27"/>
        <c:axId val="543775007"/>
        <c:axId val="243875839"/>
      </c:barChart>
      <c:catAx>
        <c:axId val="54377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4748B"/>
                </a:solidFill>
                <a:latin typeface="+mn-lt"/>
                <a:ea typeface="+mn-ea"/>
                <a:cs typeface="+mn-cs"/>
              </a:defRPr>
            </a:pPr>
            <a:endParaRPr lang="en-US"/>
          </a:p>
        </c:txPr>
        <c:crossAx val="243875839"/>
        <c:crosses val="autoZero"/>
        <c:auto val="1"/>
        <c:lblAlgn val="ctr"/>
        <c:lblOffset val="100"/>
        <c:noMultiLvlLbl val="0"/>
      </c:catAx>
      <c:valAx>
        <c:axId val="24387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54377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[ecommerce-blank.xlsx]pivot_backend!pivotSatisfaction</c:name>
    <c:fmtId val="12"/>
  </c:pivotSource>
  <c:chart>
    <c:title>
      <c:tx>
        <c:rich>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r>
              <a:rPr lang="en-IN" sz="1400" b="1">
                <a:solidFill>
                  <a:srgbClr val="334155"/>
                </a:solidFill>
                <a:latin typeface="+mj-lt"/>
              </a:rPr>
              <a:t>Ho</a:t>
            </a:r>
            <a:r>
              <a:rPr lang="en-IN" sz="1400" b="1" baseline="0">
                <a:solidFill>
                  <a:srgbClr val="334155"/>
                </a:solidFill>
                <a:latin typeface="+mj-lt"/>
              </a:rPr>
              <a:t>w satisfied our customers are?</a:t>
            </a:r>
            <a:endParaRPr lang="en-IN" sz="1400" b="1">
              <a:solidFill>
                <a:srgbClr val="334155"/>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BEA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3C5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pivot_backend!$H$145:$H$146</c:f>
              <c:strCache>
                <c:ptCount val="1"/>
                <c:pt idx="0">
                  <c:v>1</c:v>
                </c:pt>
              </c:strCache>
            </c:strRef>
          </c:tx>
          <c:spPr>
            <a:solidFill>
              <a:srgbClr val="DBEAFE"/>
            </a:solidFill>
            <a:ln>
              <a:noFill/>
            </a:ln>
            <a:effectLst/>
          </c:spPr>
          <c:invertIfNegative val="0"/>
          <c:cat>
            <c:strRef>
              <c:f>pivot_backend!$G$147:$G$150</c:f>
              <c:strCache>
                <c:ptCount val="3"/>
                <c:pt idx="0">
                  <c:v>Jan</c:v>
                </c:pt>
                <c:pt idx="1">
                  <c:v>Feb</c:v>
                </c:pt>
                <c:pt idx="2">
                  <c:v>Mar</c:v>
                </c:pt>
              </c:strCache>
            </c:strRef>
          </c:cat>
          <c:val>
            <c:numRef>
              <c:f>pivot_backend!$H$147:$H$150</c:f>
              <c:numCache>
                <c:formatCode>General</c:formatCode>
                <c:ptCount val="3"/>
                <c:pt idx="0">
                  <c:v>7</c:v>
                </c:pt>
                <c:pt idx="1">
                  <c:v>8</c:v>
                </c:pt>
                <c:pt idx="2">
                  <c:v>6</c:v>
                </c:pt>
              </c:numCache>
            </c:numRef>
          </c:val>
          <c:extLst>
            <c:ext xmlns:c16="http://schemas.microsoft.com/office/drawing/2014/chart" uri="{C3380CC4-5D6E-409C-BE32-E72D297353CC}">
              <c16:uniqueId val="{00000000-4FAC-4030-8A67-7CB7472124E2}"/>
            </c:ext>
          </c:extLst>
        </c:ser>
        <c:ser>
          <c:idx val="1"/>
          <c:order val="1"/>
          <c:tx>
            <c:strRef>
              <c:f>pivot_backend!$I$145:$I$146</c:f>
              <c:strCache>
                <c:ptCount val="1"/>
                <c:pt idx="0">
                  <c:v>2</c:v>
                </c:pt>
              </c:strCache>
            </c:strRef>
          </c:tx>
          <c:spPr>
            <a:solidFill>
              <a:srgbClr val="93C5FD"/>
            </a:solidFill>
            <a:ln>
              <a:noFill/>
            </a:ln>
            <a:effectLst/>
          </c:spPr>
          <c:invertIfNegative val="0"/>
          <c:cat>
            <c:strRef>
              <c:f>pivot_backend!$G$147:$G$150</c:f>
              <c:strCache>
                <c:ptCount val="3"/>
                <c:pt idx="0">
                  <c:v>Jan</c:v>
                </c:pt>
                <c:pt idx="1">
                  <c:v>Feb</c:v>
                </c:pt>
                <c:pt idx="2">
                  <c:v>Mar</c:v>
                </c:pt>
              </c:strCache>
            </c:strRef>
          </c:cat>
          <c:val>
            <c:numRef>
              <c:f>pivot_backend!$I$147:$I$150</c:f>
              <c:numCache>
                <c:formatCode>General</c:formatCode>
                <c:ptCount val="3"/>
                <c:pt idx="0">
                  <c:v>37</c:v>
                </c:pt>
                <c:pt idx="1">
                  <c:v>51</c:v>
                </c:pt>
                <c:pt idx="2">
                  <c:v>39</c:v>
                </c:pt>
              </c:numCache>
            </c:numRef>
          </c:val>
          <c:extLst>
            <c:ext xmlns:c16="http://schemas.microsoft.com/office/drawing/2014/chart" uri="{C3380CC4-5D6E-409C-BE32-E72D297353CC}">
              <c16:uniqueId val="{00000001-4FAC-4030-8A67-7CB7472124E2}"/>
            </c:ext>
          </c:extLst>
        </c:ser>
        <c:ser>
          <c:idx val="2"/>
          <c:order val="2"/>
          <c:tx>
            <c:strRef>
              <c:f>pivot_backend!$J$145:$J$146</c:f>
              <c:strCache>
                <c:ptCount val="1"/>
                <c:pt idx="0">
                  <c:v>3</c:v>
                </c:pt>
              </c:strCache>
            </c:strRef>
          </c:tx>
          <c:spPr>
            <a:solidFill>
              <a:srgbClr val="60A5FA"/>
            </a:solidFill>
            <a:ln>
              <a:noFill/>
            </a:ln>
            <a:effectLst/>
          </c:spPr>
          <c:invertIfNegative val="0"/>
          <c:cat>
            <c:strRef>
              <c:f>pivot_backend!$G$147:$G$150</c:f>
              <c:strCache>
                <c:ptCount val="3"/>
                <c:pt idx="0">
                  <c:v>Jan</c:v>
                </c:pt>
                <c:pt idx="1">
                  <c:v>Feb</c:v>
                </c:pt>
                <c:pt idx="2">
                  <c:v>Mar</c:v>
                </c:pt>
              </c:strCache>
            </c:strRef>
          </c:cat>
          <c:val>
            <c:numRef>
              <c:f>pivot_backend!$J$147:$J$150</c:f>
              <c:numCache>
                <c:formatCode>General</c:formatCode>
                <c:ptCount val="3"/>
                <c:pt idx="0">
                  <c:v>150</c:v>
                </c:pt>
                <c:pt idx="1">
                  <c:v>182</c:v>
                </c:pt>
                <c:pt idx="2">
                  <c:v>163</c:v>
                </c:pt>
              </c:numCache>
            </c:numRef>
          </c:val>
          <c:extLst>
            <c:ext xmlns:c16="http://schemas.microsoft.com/office/drawing/2014/chart" uri="{C3380CC4-5D6E-409C-BE32-E72D297353CC}">
              <c16:uniqueId val="{00000002-4FAC-4030-8A67-7CB7472124E2}"/>
            </c:ext>
          </c:extLst>
        </c:ser>
        <c:ser>
          <c:idx val="3"/>
          <c:order val="3"/>
          <c:tx>
            <c:strRef>
              <c:f>pivot_backend!$K$145:$K$146</c:f>
              <c:strCache>
                <c:ptCount val="1"/>
                <c:pt idx="0">
                  <c:v>4</c:v>
                </c:pt>
              </c:strCache>
            </c:strRef>
          </c:tx>
          <c:spPr>
            <a:solidFill>
              <a:srgbClr val="2563EB"/>
            </a:solidFill>
            <a:ln>
              <a:noFill/>
            </a:ln>
            <a:effectLst/>
          </c:spPr>
          <c:invertIfNegative val="0"/>
          <c:cat>
            <c:strRef>
              <c:f>pivot_backend!$G$147:$G$150</c:f>
              <c:strCache>
                <c:ptCount val="3"/>
                <c:pt idx="0">
                  <c:v>Jan</c:v>
                </c:pt>
                <c:pt idx="1">
                  <c:v>Feb</c:v>
                </c:pt>
                <c:pt idx="2">
                  <c:v>Mar</c:v>
                </c:pt>
              </c:strCache>
            </c:strRef>
          </c:cat>
          <c:val>
            <c:numRef>
              <c:f>pivot_backend!$K$147:$K$150</c:f>
              <c:numCache>
                <c:formatCode>General</c:formatCode>
                <c:ptCount val="3"/>
                <c:pt idx="0">
                  <c:v>312</c:v>
                </c:pt>
                <c:pt idx="1">
                  <c:v>373</c:v>
                </c:pt>
                <c:pt idx="2">
                  <c:v>351</c:v>
                </c:pt>
              </c:numCache>
            </c:numRef>
          </c:val>
          <c:extLst>
            <c:ext xmlns:c16="http://schemas.microsoft.com/office/drawing/2014/chart" uri="{C3380CC4-5D6E-409C-BE32-E72D297353CC}">
              <c16:uniqueId val="{00000003-4FAC-4030-8A67-7CB7472124E2}"/>
            </c:ext>
          </c:extLst>
        </c:ser>
        <c:ser>
          <c:idx val="4"/>
          <c:order val="4"/>
          <c:tx>
            <c:strRef>
              <c:f>pivot_backend!$L$145:$L$146</c:f>
              <c:strCache>
                <c:ptCount val="1"/>
                <c:pt idx="0">
                  <c:v>5</c:v>
                </c:pt>
              </c:strCache>
            </c:strRef>
          </c:tx>
          <c:spPr>
            <a:solidFill>
              <a:srgbClr val="1E3A8A"/>
            </a:solidFill>
            <a:ln>
              <a:noFill/>
            </a:ln>
            <a:effectLst/>
          </c:spPr>
          <c:invertIfNegative val="0"/>
          <c:cat>
            <c:strRef>
              <c:f>pivot_backend!$G$147:$G$150</c:f>
              <c:strCache>
                <c:ptCount val="3"/>
                <c:pt idx="0">
                  <c:v>Jan</c:v>
                </c:pt>
                <c:pt idx="1">
                  <c:v>Feb</c:v>
                </c:pt>
                <c:pt idx="2">
                  <c:v>Mar</c:v>
                </c:pt>
              </c:strCache>
            </c:strRef>
          </c:cat>
          <c:val>
            <c:numRef>
              <c:f>pivot_backend!$L$147:$L$150</c:f>
              <c:numCache>
                <c:formatCode>General</c:formatCode>
                <c:ptCount val="3"/>
                <c:pt idx="0">
                  <c:v>224</c:v>
                </c:pt>
                <c:pt idx="1">
                  <c:v>247</c:v>
                </c:pt>
                <c:pt idx="2">
                  <c:v>250</c:v>
                </c:pt>
              </c:numCache>
            </c:numRef>
          </c:val>
          <c:extLst>
            <c:ext xmlns:c16="http://schemas.microsoft.com/office/drawing/2014/chart" uri="{C3380CC4-5D6E-409C-BE32-E72D297353CC}">
              <c16:uniqueId val="{00000010-4FAC-4030-8A67-7CB7472124E2}"/>
            </c:ext>
          </c:extLst>
        </c:ser>
        <c:dLbls>
          <c:showLegendKey val="0"/>
          <c:showVal val="0"/>
          <c:showCatName val="0"/>
          <c:showSerName val="0"/>
          <c:showPercent val="0"/>
          <c:showBubbleSize val="0"/>
        </c:dLbls>
        <c:gapWidth val="219"/>
        <c:overlap val="-27"/>
        <c:axId val="399939727"/>
        <c:axId val="399940687"/>
      </c:barChart>
      <c:catAx>
        <c:axId val="3999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399940687"/>
        <c:crosses val="autoZero"/>
        <c:auto val="1"/>
        <c:lblAlgn val="ctr"/>
        <c:lblOffset val="100"/>
        <c:noMultiLvlLbl val="0"/>
      </c:catAx>
      <c:valAx>
        <c:axId val="39994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39993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[ecommerce-blank.xlsx]pivot_backend!pivotProducts</c:name>
    <c:fmtId val="13"/>
  </c:pivotSource>
  <c:chart>
    <c:title>
      <c:tx>
        <c:rich>
          <a:bodyPr rot="0" spcFirstLastPara="1" vertOverflow="ellipsis" vert="horz" wrap="square" anchor="ctr" anchorCtr="1"/>
          <a:lstStyle/>
          <a:p>
            <a:pPr algn="ctr">
              <a:defRPr sz="1400" b="0" i="0" u="none" strike="noStrike" kern="1200" spc="0" baseline="0">
                <a:solidFill>
                  <a:srgbClr val="334155"/>
                </a:solidFill>
                <a:latin typeface="+mn-lt"/>
                <a:ea typeface="+mn-ea"/>
                <a:cs typeface="+mn-cs"/>
              </a:defRPr>
            </a:pPr>
            <a:r>
              <a:rPr lang="en-IN" sz="1400" b="1">
                <a:solidFill>
                  <a:srgbClr val="334155"/>
                </a:solidFill>
                <a:latin typeface="+mj-lt"/>
              </a:rPr>
              <a:t>Which</a:t>
            </a:r>
            <a:r>
              <a:rPr lang="en-IN" sz="1400" b="1" baseline="0">
                <a:solidFill>
                  <a:srgbClr val="334155"/>
                </a:solidFill>
                <a:latin typeface="+mj-lt"/>
              </a:rPr>
              <a:t> Products are popular?Breakdown by gender</a:t>
            </a:r>
            <a:endParaRPr lang="en-IN" sz="1400" b="1">
              <a:solidFill>
                <a:srgbClr val="334155"/>
              </a:solidFill>
              <a:latin typeface="+mj-lt"/>
            </a:endParaRPr>
          </a:p>
        </c:rich>
      </c:tx>
      <c:layout>
        <c:manualLayout>
          <c:xMode val="edge"/>
          <c:yMode val="edge"/>
          <c:x val="0.12659840736010514"/>
          <c:y val="2.222785346826447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rgbClr val="334155"/>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pivot_backend!$B$50:$B$51</c:f>
              <c:strCache>
                <c:ptCount val="1"/>
                <c:pt idx="0">
                  <c:v>Female</c:v>
                </c:pt>
              </c:strCache>
            </c:strRef>
          </c:tx>
          <c:spPr>
            <a:solidFill>
              <a:schemeClr val="accent1"/>
            </a:solidFill>
            <a:ln>
              <a:noFill/>
            </a:ln>
            <a:effectLst/>
          </c:spPr>
          <c:invertIfNegative val="0"/>
          <c:cat>
            <c:strRef>
              <c:f>pivot_backend!$A$52:$A$72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pivot_backend!$B$52:$B$72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5A6D-409F-857B-0295A57030FD}"/>
            </c:ext>
          </c:extLst>
        </c:ser>
        <c:ser>
          <c:idx val="1"/>
          <c:order val="1"/>
          <c:tx>
            <c:strRef>
              <c:f>pivot_backend!$C$50:$C$51</c:f>
              <c:strCache>
                <c:ptCount val="1"/>
                <c:pt idx="0">
                  <c:v>Male</c:v>
                </c:pt>
              </c:strCache>
            </c:strRef>
          </c:tx>
          <c:spPr>
            <a:solidFill>
              <a:schemeClr val="accent2"/>
            </a:solidFill>
            <a:ln>
              <a:noFill/>
            </a:ln>
            <a:effectLst/>
          </c:spPr>
          <c:invertIfNegative val="0"/>
          <c:cat>
            <c:strRef>
              <c:f>pivot_backend!$A$52:$A$72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pivot_backend!$C$52:$C$72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5A6D-409F-857B-0295A57030FD}"/>
            </c:ext>
          </c:extLst>
        </c:ser>
        <c:ser>
          <c:idx val="2"/>
          <c:order val="2"/>
          <c:tx>
            <c:strRef>
              <c:f>pivot_backend!$D$50:$D$51</c:f>
              <c:strCache>
                <c:ptCount val="1"/>
                <c:pt idx="0">
                  <c:v>Other</c:v>
                </c:pt>
              </c:strCache>
            </c:strRef>
          </c:tx>
          <c:spPr>
            <a:solidFill>
              <a:schemeClr val="accent3"/>
            </a:solidFill>
            <a:ln>
              <a:noFill/>
            </a:ln>
            <a:effectLst/>
          </c:spPr>
          <c:invertIfNegative val="0"/>
          <c:cat>
            <c:strRef>
              <c:f>pivot_backend!$A$52:$A$72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pivot_backend!$D$52:$D$72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5A6D-409F-857B-0295A57030FD}"/>
            </c:ext>
          </c:extLst>
        </c:ser>
        <c:ser>
          <c:idx val="3"/>
          <c:order val="3"/>
          <c:tx>
            <c:strRef>
              <c:f>pivot_backend!$E$50:$E$51</c:f>
              <c:strCache>
                <c:ptCount val="1"/>
                <c:pt idx="0">
                  <c:v>Unknown</c:v>
                </c:pt>
              </c:strCache>
            </c:strRef>
          </c:tx>
          <c:spPr>
            <a:solidFill>
              <a:schemeClr val="accent4"/>
            </a:solidFill>
            <a:ln>
              <a:noFill/>
            </a:ln>
            <a:effectLst/>
          </c:spPr>
          <c:invertIfNegative val="0"/>
          <c:cat>
            <c:strRef>
              <c:f>pivot_backend!$A$52:$A$72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pivot_backend!$E$52:$E$72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5A6D-409F-857B-0295A57030FD}"/>
            </c:ext>
          </c:extLst>
        </c:ser>
        <c:dLbls>
          <c:showLegendKey val="0"/>
          <c:showVal val="0"/>
          <c:showCatName val="0"/>
          <c:showSerName val="0"/>
          <c:showPercent val="0"/>
          <c:showBubbleSize val="0"/>
        </c:dLbls>
        <c:gapWidth val="10"/>
        <c:overlap val="100"/>
        <c:axId val="784677615"/>
        <c:axId val="784677135"/>
      </c:barChart>
      <c:catAx>
        <c:axId val="78467761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784677135"/>
        <c:crosses val="autoZero"/>
        <c:auto val="1"/>
        <c:lblAlgn val="ctr"/>
        <c:lblOffset val="100"/>
        <c:noMultiLvlLbl val="0"/>
      </c:catAx>
      <c:valAx>
        <c:axId val="78467713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78467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[ecommerce-blank.xlsx]pivot_backend!pivotGender</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93C5FD"/>
          </a:solidFill>
          <a:ln w="19050">
            <a:solidFill>
              <a:schemeClr val="lt1"/>
            </a:solidFill>
          </a:ln>
          <a:effectLst/>
        </c:spPr>
        <c:dLbl>
          <c:idx val="0"/>
          <c:layout>
            <c:manualLayout>
              <c:x val="0.11552213035159183"/>
              <c:y val="0.2646688295220734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E5DCA688-236F-4618-A2AC-4A8EEBD331D8}" type="CATEGORYNAME">
                  <a:rPr lang="en-US">
                    <a:solidFill>
                      <a:srgbClr val="475569"/>
                    </a:solidFill>
                  </a:rPr>
                  <a:pPr>
                    <a:defRPr>
                      <a:solidFill>
                        <a:srgbClr val="475569"/>
                      </a:solidFill>
                    </a:defRPr>
                  </a:pPr>
                  <a:t>[CATEGORY NAME]</a:t>
                </a:fld>
                <a:r>
                  <a:rPr lang="en-US">
                    <a:solidFill>
                      <a:srgbClr val="475569"/>
                    </a:solidFill>
                  </a:rPr>
                  <a:t>,</a:t>
                </a:r>
                <a:fld id="{C25B4212-21A9-4AB7-B029-03178A4951C3}" type="VALUE">
                  <a:rPr lang="en-US">
                    <a:solidFill>
                      <a:srgbClr val="475569"/>
                    </a:solidFill>
                  </a:rPr>
                  <a:pPr>
                    <a:defRPr>
                      <a:solidFill>
                        <a:srgbClr val="475569"/>
                      </a:solidFill>
                    </a:defRPr>
                  </a:pPr>
                  <a:t>[VALUE]</a:t>
                </a:fld>
                <a:r>
                  <a:rPr lang="en-US" baseline="0">
                    <a:solidFill>
                      <a:srgbClr val="475569"/>
                    </a:solidFill>
                  </a:rPr>
                  <a:t>
</a:t>
                </a:r>
                <a:fld id="{73F58086-72BB-4864-879C-AC90488A3399}"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087932451145446"/>
                  <c:h val="0.42321275127190183"/>
                </c:manualLayout>
              </c15:layout>
              <c15:dlblFieldTable/>
              <c15:showDataLabelsRange val="0"/>
            </c:ext>
          </c:extLst>
        </c:dLbl>
      </c:pivotFmt>
      <c:pivotFmt>
        <c:idx val="8"/>
        <c:spPr>
          <a:solidFill>
            <a:srgbClr val="2563EB"/>
          </a:solidFill>
          <a:ln w="19050">
            <a:solidFill>
              <a:schemeClr val="lt1"/>
            </a:solidFill>
          </a:ln>
          <a:effectLst/>
        </c:spPr>
        <c:dLbl>
          <c:idx val="0"/>
          <c:layout>
            <c:manualLayout>
              <c:x val="-0.14726753506438287"/>
              <c:y val="0.18361345675780141"/>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E7CE0B9F-7D2A-45E3-BAEB-232D84A3766C}" type="CATEGORYNAME">
                  <a:rPr lang="en-US">
                    <a:solidFill>
                      <a:srgbClr val="475569"/>
                    </a:solidFill>
                  </a:rPr>
                  <a:pPr>
                    <a:defRPr>
                      <a:solidFill>
                        <a:srgbClr val="475569"/>
                      </a:solidFill>
                    </a:defRPr>
                  </a:pPr>
                  <a:t>[CATEGORY NAME]</a:t>
                </a:fld>
                <a:r>
                  <a:rPr lang="en-US">
                    <a:solidFill>
                      <a:srgbClr val="475569"/>
                    </a:solidFill>
                  </a:rPr>
                  <a:t>,</a:t>
                </a:r>
                <a:fld id="{1245F409-8A7E-4597-81BC-7E7DFB00476A}" type="VALUE">
                  <a:rPr lang="en-US">
                    <a:solidFill>
                      <a:srgbClr val="475569"/>
                    </a:solidFill>
                  </a:rPr>
                  <a:pPr>
                    <a:defRPr>
                      <a:solidFill>
                        <a:srgbClr val="475569"/>
                      </a:solidFill>
                    </a:defRPr>
                  </a:pPr>
                  <a:t>[VALUE]</a:t>
                </a:fld>
                <a:r>
                  <a:rPr lang="en-US" baseline="0">
                    <a:solidFill>
                      <a:srgbClr val="475569"/>
                    </a:solidFill>
                  </a:rPr>
                  <a:t>
</a:t>
                </a:r>
                <a:fld id="{B0316CD0-CF02-48C9-9E10-D0D526999FDB}"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22805495383172"/>
                  <c:h val="0.40402199185687404"/>
                </c:manualLayout>
              </c15:layout>
              <c15:dlblFieldTable/>
              <c15:showDataLabelsRange val="0"/>
            </c:ext>
          </c:extLst>
        </c:dLbl>
      </c:pivotFmt>
      <c:pivotFmt>
        <c:idx val="9"/>
        <c:spPr>
          <a:solidFill>
            <a:srgbClr val="F59E0B"/>
          </a:solidFill>
          <a:ln w="19050">
            <a:solidFill>
              <a:schemeClr val="lt1"/>
            </a:solidFill>
          </a:ln>
          <a:effectLst/>
        </c:spPr>
        <c:dLbl>
          <c:idx val="0"/>
          <c:layout>
            <c:manualLayout>
              <c:x val="-0.23287477420760247"/>
              <c:y val="-0.1022411090066883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9A82B75A-C2DC-4E9D-8954-3BD6BDB515C7}" type="CATEGORYNAME">
                  <a:rPr lang="en-US">
                    <a:solidFill>
                      <a:srgbClr val="475569"/>
                    </a:solidFill>
                  </a:rPr>
                  <a:pPr>
                    <a:defRPr>
                      <a:solidFill>
                        <a:srgbClr val="475569"/>
                      </a:solidFill>
                    </a:defRPr>
                  </a:pPr>
                  <a:t>[CATEGORY NAME]</a:t>
                </a:fld>
                <a:r>
                  <a:rPr lang="en-US" baseline="0">
                    <a:solidFill>
                      <a:srgbClr val="475569"/>
                    </a:solidFill>
                  </a:rPr>
                  <a:t>,</a:t>
                </a:r>
                <a:fld id="{91609C63-A367-4A67-A85C-0A9A67CD2287}" type="VALUE">
                  <a:rPr lang="en-US" baseline="0">
                    <a:solidFill>
                      <a:srgbClr val="475569"/>
                    </a:solidFill>
                  </a:rPr>
                  <a:pPr>
                    <a:defRPr>
                      <a:solidFill>
                        <a:srgbClr val="475569"/>
                      </a:solidFill>
                    </a:defRPr>
                  </a:pPr>
                  <a:t>[VALUE]</a:t>
                </a:fld>
                <a:fld id="{CA691609-0ADB-4CD1-866A-8B14B1E1FBAF}"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989754096826666"/>
                  <c:h val="0.39332586615119397"/>
                </c:manualLayout>
              </c15:layout>
              <c15:dlblFieldTable/>
              <c15:showDataLabelsRange val="0"/>
            </c:ext>
          </c:extLst>
        </c:dLbl>
      </c:pivotFmt>
      <c:pivotFmt>
        <c:idx val="10"/>
        <c:spPr>
          <a:solidFill>
            <a:srgbClr val="CBD5E1"/>
          </a:solidFill>
          <a:ln w="19050">
            <a:solidFill>
              <a:schemeClr val="lt1"/>
            </a:solidFill>
          </a:ln>
          <a:effectLst/>
        </c:spPr>
        <c:dLbl>
          <c:idx val="0"/>
          <c:layout>
            <c:manualLayout>
              <c:x val="0.37825550152014981"/>
              <c:y val="-2.4574124292470214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08DC6769-729E-472C-95EE-D4491B2A7E73}" type="CATEGORYNAME">
                  <a:rPr lang="en-US">
                    <a:solidFill>
                      <a:srgbClr val="475569"/>
                    </a:solidFill>
                  </a:rPr>
                  <a:pPr>
                    <a:defRPr>
                      <a:solidFill>
                        <a:srgbClr val="475569"/>
                      </a:solidFill>
                    </a:defRPr>
                  </a:pPr>
                  <a:t>[CATEGORY NAME]</a:t>
                </a:fld>
                <a:r>
                  <a:rPr lang="en-US">
                    <a:solidFill>
                      <a:srgbClr val="475569"/>
                    </a:solidFill>
                  </a:rPr>
                  <a:t>,</a:t>
                </a:r>
                <a:fld id="{6F31787C-B08E-4C3F-8CB0-A9FCEAFA1CA4}" type="VALUE">
                  <a:rPr lang="en-US">
                    <a:solidFill>
                      <a:srgbClr val="475569"/>
                    </a:solidFill>
                  </a:rPr>
                  <a:pPr>
                    <a:defRPr>
                      <a:solidFill>
                        <a:srgbClr val="475569"/>
                      </a:solidFill>
                    </a:defRPr>
                  </a:pPr>
                  <a:t>[VALUE]</a:t>
                </a:fld>
                <a:r>
                  <a:rPr lang="en-US" baseline="0">
                    <a:solidFill>
                      <a:srgbClr val="475569"/>
                    </a:solidFill>
                  </a:rPr>
                  <a:t>
</a:t>
                </a:r>
                <a:fld id="{753B60E3-5147-418D-A417-5269DFC83069}"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464316753889469"/>
                  <c:h val="0.45802139339006875"/>
                </c:manualLayout>
              </c15:layout>
              <c15:dlblFieldTable/>
              <c15:showDataLabelsRange val="0"/>
            </c:ext>
          </c:extLst>
        </c:dLbl>
      </c:pivotFmt>
    </c:pivotFmts>
    <c:plotArea>
      <c:layout/>
      <c:doughnutChart>
        <c:varyColors val="1"/>
        <c:ser>
          <c:idx val="0"/>
          <c:order val="0"/>
          <c:tx>
            <c:strRef>
              <c:f>pivot_backend!$J$47</c:f>
              <c:strCache>
                <c:ptCount val="1"/>
                <c:pt idx="0">
                  <c:v>Total</c:v>
                </c:pt>
              </c:strCache>
            </c:strRef>
          </c:tx>
          <c:dPt>
            <c:idx val="0"/>
            <c:bubble3D val="0"/>
            <c:spPr>
              <a:solidFill>
                <a:srgbClr val="93C5FD"/>
              </a:solidFill>
              <a:ln w="19050">
                <a:solidFill>
                  <a:schemeClr val="lt1"/>
                </a:solidFill>
              </a:ln>
              <a:effectLst/>
            </c:spPr>
            <c:extLst>
              <c:ext xmlns:c16="http://schemas.microsoft.com/office/drawing/2014/chart" uri="{C3380CC4-5D6E-409C-BE32-E72D297353CC}">
                <c16:uniqueId val="{00000001-83BA-47AB-905A-2C06B3415343}"/>
              </c:ext>
            </c:extLst>
          </c:dPt>
          <c:dPt>
            <c:idx val="1"/>
            <c:bubble3D val="0"/>
            <c:spPr>
              <a:solidFill>
                <a:srgbClr val="2563EB"/>
              </a:solidFill>
              <a:ln w="19050">
                <a:solidFill>
                  <a:schemeClr val="lt1"/>
                </a:solidFill>
              </a:ln>
              <a:effectLst/>
            </c:spPr>
            <c:extLst>
              <c:ext xmlns:c16="http://schemas.microsoft.com/office/drawing/2014/chart" uri="{C3380CC4-5D6E-409C-BE32-E72D297353CC}">
                <c16:uniqueId val="{00000003-83BA-47AB-905A-2C06B3415343}"/>
              </c:ext>
            </c:extLst>
          </c:dPt>
          <c:dPt>
            <c:idx val="2"/>
            <c:bubble3D val="0"/>
            <c:spPr>
              <a:solidFill>
                <a:srgbClr val="F59E0B"/>
              </a:solidFill>
              <a:ln w="19050">
                <a:solidFill>
                  <a:schemeClr val="lt1"/>
                </a:solidFill>
              </a:ln>
              <a:effectLst/>
            </c:spPr>
            <c:extLst>
              <c:ext xmlns:c16="http://schemas.microsoft.com/office/drawing/2014/chart" uri="{C3380CC4-5D6E-409C-BE32-E72D297353CC}">
                <c16:uniqueId val="{00000005-83BA-47AB-905A-2C06B3415343}"/>
              </c:ext>
            </c:extLst>
          </c:dPt>
          <c:dPt>
            <c:idx val="3"/>
            <c:bubble3D val="0"/>
            <c:spPr>
              <a:solidFill>
                <a:srgbClr val="CBD5E1"/>
              </a:solidFill>
              <a:ln w="19050">
                <a:solidFill>
                  <a:schemeClr val="lt1"/>
                </a:solidFill>
              </a:ln>
              <a:effectLst/>
            </c:spPr>
            <c:extLst>
              <c:ext xmlns:c16="http://schemas.microsoft.com/office/drawing/2014/chart" uri="{C3380CC4-5D6E-409C-BE32-E72D297353CC}">
                <c16:uniqueId val="{00000007-83BA-47AB-905A-2C06B3415343}"/>
              </c:ext>
            </c:extLst>
          </c:dPt>
          <c:dLbls>
            <c:dLbl>
              <c:idx val="0"/>
              <c:layout>
                <c:manualLayout>
                  <c:x val="0.11552213035159183"/>
                  <c:y val="0.2646688295220734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E5DCA688-236F-4618-A2AC-4A8EEBD331D8}" type="CATEGORYNAME">
                      <a:rPr lang="en-US">
                        <a:solidFill>
                          <a:srgbClr val="475569"/>
                        </a:solidFill>
                      </a:rPr>
                      <a:pPr>
                        <a:defRPr>
                          <a:solidFill>
                            <a:srgbClr val="475569"/>
                          </a:solidFill>
                        </a:defRPr>
                      </a:pPr>
                      <a:t>[CATEGORY NAME]</a:t>
                    </a:fld>
                    <a:r>
                      <a:rPr lang="en-US">
                        <a:solidFill>
                          <a:srgbClr val="475569"/>
                        </a:solidFill>
                      </a:rPr>
                      <a:t>,</a:t>
                    </a:r>
                    <a:fld id="{C25B4212-21A9-4AB7-B029-03178A4951C3}" type="VALUE">
                      <a:rPr lang="en-US">
                        <a:solidFill>
                          <a:srgbClr val="475569"/>
                        </a:solidFill>
                      </a:rPr>
                      <a:pPr>
                        <a:defRPr>
                          <a:solidFill>
                            <a:srgbClr val="475569"/>
                          </a:solidFill>
                        </a:defRPr>
                      </a:pPr>
                      <a:t>[VALUE]</a:t>
                    </a:fld>
                    <a:r>
                      <a:rPr lang="en-US" baseline="0">
                        <a:solidFill>
                          <a:srgbClr val="475569"/>
                        </a:solidFill>
                      </a:rPr>
                      <a:t>
</a:t>
                    </a:r>
                    <a:fld id="{73F58086-72BB-4864-879C-AC90488A3399}"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087932451145446"/>
                      <c:h val="0.42321275127190183"/>
                    </c:manualLayout>
                  </c15:layout>
                  <c15:dlblFieldTable/>
                  <c15:showDataLabelsRange val="0"/>
                </c:ext>
                <c:ext xmlns:c16="http://schemas.microsoft.com/office/drawing/2014/chart" uri="{C3380CC4-5D6E-409C-BE32-E72D297353CC}">
                  <c16:uniqueId val="{00000001-83BA-47AB-905A-2C06B3415343}"/>
                </c:ext>
              </c:extLst>
            </c:dLbl>
            <c:dLbl>
              <c:idx val="1"/>
              <c:layout>
                <c:manualLayout>
                  <c:x val="-0.14726753506438287"/>
                  <c:y val="0.18361345675780141"/>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E7CE0B9F-7D2A-45E3-BAEB-232D84A3766C}" type="CATEGORYNAME">
                      <a:rPr lang="en-US">
                        <a:solidFill>
                          <a:srgbClr val="475569"/>
                        </a:solidFill>
                      </a:rPr>
                      <a:pPr>
                        <a:defRPr>
                          <a:solidFill>
                            <a:srgbClr val="475569"/>
                          </a:solidFill>
                        </a:defRPr>
                      </a:pPr>
                      <a:t>[CATEGORY NAME]</a:t>
                    </a:fld>
                    <a:r>
                      <a:rPr lang="en-US">
                        <a:solidFill>
                          <a:srgbClr val="475569"/>
                        </a:solidFill>
                      </a:rPr>
                      <a:t>,</a:t>
                    </a:r>
                    <a:fld id="{1245F409-8A7E-4597-81BC-7E7DFB00476A}" type="VALUE">
                      <a:rPr lang="en-US">
                        <a:solidFill>
                          <a:srgbClr val="475569"/>
                        </a:solidFill>
                      </a:rPr>
                      <a:pPr>
                        <a:defRPr>
                          <a:solidFill>
                            <a:srgbClr val="475569"/>
                          </a:solidFill>
                        </a:defRPr>
                      </a:pPr>
                      <a:t>[VALUE]</a:t>
                    </a:fld>
                    <a:r>
                      <a:rPr lang="en-US" baseline="0">
                        <a:solidFill>
                          <a:srgbClr val="475569"/>
                        </a:solidFill>
                      </a:rPr>
                      <a:t>
</a:t>
                    </a:r>
                    <a:fld id="{B0316CD0-CF02-48C9-9E10-D0D526999FDB}"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22805495383172"/>
                      <c:h val="0.40402199185687404"/>
                    </c:manualLayout>
                  </c15:layout>
                  <c15:dlblFieldTable/>
                  <c15:showDataLabelsRange val="0"/>
                </c:ext>
                <c:ext xmlns:c16="http://schemas.microsoft.com/office/drawing/2014/chart" uri="{C3380CC4-5D6E-409C-BE32-E72D297353CC}">
                  <c16:uniqueId val="{00000003-83BA-47AB-905A-2C06B3415343}"/>
                </c:ext>
              </c:extLst>
            </c:dLbl>
            <c:dLbl>
              <c:idx val="2"/>
              <c:layout>
                <c:manualLayout>
                  <c:x val="-0.23287477420760247"/>
                  <c:y val="-0.1022411090066883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9A82B75A-C2DC-4E9D-8954-3BD6BDB515C7}" type="CATEGORYNAME">
                      <a:rPr lang="en-US">
                        <a:solidFill>
                          <a:srgbClr val="475569"/>
                        </a:solidFill>
                      </a:rPr>
                      <a:pPr>
                        <a:defRPr>
                          <a:solidFill>
                            <a:srgbClr val="475569"/>
                          </a:solidFill>
                        </a:defRPr>
                      </a:pPr>
                      <a:t>[CATEGORY NAME]</a:t>
                    </a:fld>
                    <a:r>
                      <a:rPr lang="en-US" baseline="0">
                        <a:solidFill>
                          <a:srgbClr val="475569"/>
                        </a:solidFill>
                      </a:rPr>
                      <a:t>,</a:t>
                    </a:r>
                    <a:fld id="{91609C63-A367-4A67-A85C-0A9A67CD2287}" type="VALUE">
                      <a:rPr lang="en-US" baseline="0">
                        <a:solidFill>
                          <a:srgbClr val="475569"/>
                        </a:solidFill>
                      </a:rPr>
                      <a:pPr>
                        <a:defRPr>
                          <a:solidFill>
                            <a:srgbClr val="475569"/>
                          </a:solidFill>
                        </a:defRPr>
                      </a:pPr>
                      <a:t>[VALUE]</a:t>
                    </a:fld>
                    <a:fld id="{CA691609-0ADB-4CD1-866A-8B14B1E1FBAF}"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989754096826666"/>
                      <c:h val="0.39332586615119397"/>
                    </c:manualLayout>
                  </c15:layout>
                  <c15:dlblFieldTable/>
                  <c15:showDataLabelsRange val="0"/>
                </c:ext>
                <c:ext xmlns:c16="http://schemas.microsoft.com/office/drawing/2014/chart" uri="{C3380CC4-5D6E-409C-BE32-E72D297353CC}">
                  <c16:uniqueId val="{00000005-83BA-47AB-905A-2C06B3415343}"/>
                </c:ext>
              </c:extLst>
            </c:dLbl>
            <c:dLbl>
              <c:idx val="3"/>
              <c:layout>
                <c:manualLayout>
                  <c:x val="0.37825550152014981"/>
                  <c:y val="-2.4574124292470214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08DC6769-729E-472C-95EE-D4491B2A7E73}" type="CATEGORYNAME">
                      <a:rPr lang="en-US">
                        <a:solidFill>
                          <a:srgbClr val="475569"/>
                        </a:solidFill>
                      </a:rPr>
                      <a:pPr>
                        <a:defRPr>
                          <a:solidFill>
                            <a:srgbClr val="475569"/>
                          </a:solidFill>
                        </a:defRPr>
                      </a:pPr>
                      <a:t>[CATEGORY NAME]</a:t>
                    </a:fld>
                    <a:r>
                      <a:rPr lang="en-US">
                        <a:solidFill>
                          <a:srgbClr val="475569"/>
                        </a:solidFill>
                      </a:rPr>
                      <a:t>,</a:t>
                    </a:r>
                    <a:fld id="{6F31787C-B08E-4C3F-8CB0-A9FCEAFA1CA4}" type="VALUE">
                      <a:rPr lang="en-US">
                        <a:solidFill>
                          <a:srgbClr val="475569"/>
                        </a:solidFill>
                      </a:rPr>
                      <a:pPr>
                        <a:defRPr>
                          <a:solidFill>
                            <a:srgbClr val="475569"/>
                          </a:solidFill>
                        </a:defRPr>
                      </a:pPr>
                      <a:t>[VALUE]</a:t>
                    </a:fld>
                    <a:r>
                      <a:rPr lang="en-US" baseline="0">
                        <a:solidFill>
                          <a:srgbClr val="475569"/>
                        </a:solidFill>
                      </a:rPr>
                      <a:t>
</a:t>
                    </a:r>
                    <a:fld id="{753B60E3-5147-418D-A417-5269DFC83069}"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464316753889469"/>
                      <c:h val="0.45802139339006875"/>
                    </c:manualLayout>
                  </c15:layout>
                  <c15:dlblFieldTable/>
                  <c15:showDataLabelsRange val="0"/>
                </c:ext>
                <c:ext xmlns:c16="http://schemas.microsoft.com/office/drawing/2014/chart" uri="{C3380CC4-5D6E-409C-BE32-E72D297353CC}">
                  <c16:uniqueId val="{00000007-83BA-47AB-905A-2C06B3415343}"/>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pivot_backend!$I$48:$I$52</c:f>
              <c:strCache>
                <c:ptCount val="4"/>
                <c:pt idx="0">
                  <c:v>Female</c:v>
                </c:pt>
                <c:pt idx="1">
                  <c:v>Male</c:v>
                </c:pt>
                <c:pt idx="2">
                  <c:v>Other</c:v>
                </c:pt>
                <c:pt idx="3">
                  <c:v>Unknown</c:v>
                </c:pt>
              </c:strCache>
            </c:strRef>
          </c:cat>
          <c:val>
            <c:numRef>
              <c:f>pivot_backend!$J$48:$J$52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83BA-47AB-905A-2C06B3415343}"/>
            </c:ext>
          </c:extLst>
        </c:ser>
        <c:dLbls>
          <c:showLegendKey val="0"/>
          <c:showVal val="0"/>
          <c:showCatName val="0"/>
          <c:showSerName val="0"/>
          <c:showPercent val="0"/>
          <c:showBubbleSize val="0"/>
          <c:showLeaderLines val="0"/>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sz="1400">
              <a:solidFill>
                <a:srgbClr val="334155"/>
              </a:solidFill>
            </a:defRPr>
          </a:pPr>
          <a:r>
            <a:rPr lang="en-US" sz="1400" b="1" i="0" u="none" strike="noStrike" baseline="0">
              <a:solidFill>
                <a:srgbClr val="334155"/>
              </a:solidFill>
              <a:latin typeface="+mj-lt"/>
            </a:rPr>
            <a:t>Where do our customers live?</a:t>
          </a:r>
        </a:p>
      </cx:txPr>
    </cx:title>
    <cx:plotArea>
      <cx:plotAreaRegion>
        <cx:series layoutId="regionMap" uniqueId="{00000000-BD61-4C0D-B300-694C72A2B424}">
          <cx:tx>
            <cx:txData>
              <cx:f>_xlchart.v5.2</cx:f>
              <cx:v>Quantity</cx:v>
            </cx:txData>
          </cx:tx>
          <cx:spPr>
            <a:noFill/>
            <a:ln>
              <a:solidFill>
                <a:schemeClr val="accent6">
                  <a:shade val="15000"/>
                </a:schemeClr>
              </a:solidFill>
            </a:ln>
          </cx:spPr>
          <cx:dataId val="0"/>
          <cx:layoutPr>
            <cx:geography cultureLanguage="en-US" cultureRegion="GB" attribution="Powered by Bing">
              <cx:geoCache provider="{E9337A44-BEBE-4D9F-B70C-5C5E7DAFC167}">
                <cx:binary>3F1Zc9u4sv4rqTxfegCQAMhTZ07VgKQWL/KaOM4LS7EV7vvOX3+btpNjUbRN140erjQzNZORGmzi
Qy/objT+fd/86z7YrLNPTRhE+b/um78/O0WR/Ouvv/J7ZxOu86PQvc/iPP5ZHN3H4V/xz5/u/eav
h2xdu5H9F0FY+eveWWfFpvn8n3/DaPYmPo3v14UbR5flJmuvNnkZFPkb341+9Wn9ELqR4eZF5t4X
+O/P+jpwf8ZZ5K4/b39H/v78T7AONw/rT3pcRkX7+dMmKtyivWmTzd+ft8Yhnz/9NXzcDmufAuC+
KB+AWOZHKlJUojJZe/zwz5+COLKfv5YwIUeEE4UzGPnpqStg5UMcPfKzfnjINnkOb/b4790Btl4D
ZuOf92fhvp+NHgAbsPj785fILTYPn66LdbHJP39y8/hxurJWj/tX/XL9ODd/bUP4n38P/gfM1uD/
vEB5OLXvfbUN5Dsg6zG8TY9xXuwDafUIYVXTZJk/Ia3uIo1lRaUcwzcvof4oX+N4j44yAfRRugND
fh5somgPwq0dUYIo1ggbwVpTMZfpQKwnczIO8jb5BHS3CQ4M1n+CxI02e8BVPWKaTBmmyrgoY+2I
w4dSrmyL8nSOxvEd0E8AeEBxYAiDrYncPFiX+R5Q5kdMQSCiTEaPHxDVbdOMjxAiCij0gcL+GFfj
SI+MMQHtEaoDQ/xsk92Dk6HvwRGTEdOYysBG958d84yOFBVrHHPlcTXgbcmeztc43gP6CVgPKA4N
5/XD5tEZAxfzjzrc7EhjBOwup09SDThuSzU6Qgz8MAVrA4Qnc/QKwtv0UxDepjgwhEVZFPswzuB0
YSIr6DXjTPARpQrDmAxEeDJD4/huk0+Ad5vgwNA9Xfv7ARcpMuZIe80mkyMNU8xUDi73y03UVH7G
sd2ingDt1u8PDNl/wvVDnO3BAqtHMsQ5EFHBaR6qZM4JAcy1MdM7naFxcAf0E+AdUBwYwBAIW1dg
fPfhU6tHGMwvJpw/Wd8dnxodMRVpoL8H8vshpsZx3h1iAtS7RIeGdhyU+T7iXdoR6YGEXfIrUBPY
Pqky0xS6rar1yRy9gvM2/RSQtykODGFjE3xaxRBA//M6W8FHnCqgnPvIZv/ZCV8rsAoUGcLXg0DX
h5gax3l3iAlQ7xIdGNpm8MmIMzDRfx5tWT3iRGOUPOcqNNgh7RhqTcMQxGZjhvpDrI1jvjvEBMx3
iQ4M8xmkdqJ9AM6OuIwZpRg/ifcQ8D7QqVL4Cw90+HSOxnEe0E8AeUBxYAjfbJx1uAcrraAjzBlD
lLyCcJ9/lBUM+2UyJtLT+RrHeUA/AecBxYHhfAI573343exIBp+bKAp9VZAZfAcxEbDgL/fNkxka
x3ebfAK82wQHhu6iDH/EwUPx500zyDFXGVaU3VSjcoQZlhHUGDxBv43vR1gah3hnhAko79AcGNDX
66ivIQjWewlh8yMZIiUQDnktVYGPVFXFCh3urD7I1jjeY4NMgHyM7MBQX4bJJnPXwZ8Xb5kccY2o
FGKfT5tpeeB5Y3pEwU+jYMzHzPRHOBtHfWeECZDv0BwY3jclxA3CvVQY8CNNJZqiKE8RTzSSpZJV
grFKYCW8tNcf4Wkc6Z0RJiC9Q3NgSIPy+nQcr9PS3UeZEIBNIYxClCcXGw2FGzJWRAPfTdOeQmmD
vNUHmRtHfWyQCcCPkR0Y9suo3c/WWkUEysP4cw3Rzta6D5VrjIEl35bwqfyM47xFPQHgrd8fGLIn
m2wf4kyPZP6Yf34yxTu6G4ImfSUohh3ZNrJT+RlHdot6ArJbvz8wZE/Xeb7ZA7awzVKg6k/VnjX1
rqqG/BV8rahsgO10jsbRHdBPwHdAcWAI38XBPrQyVHZy0MhQPTJwsMEGwxccw156W2inMjIO6xb1
BFC3fn9gkJ7G+ad/InsTbPYRAVOOIMhJZPVXBGxY34fVo76WEyB+Sk0PYP4gc+Nojw0yAfQxsgPD
/myd7cu15go41+g5ZTVEHcLbVMagrft6z5f7qMkMjSO9TT4B422CA0P32t1ke4mEQa0fQ7ARVp9q
csfMMXyJoKh3fOc0ma9xlAfvNQHmAcWB4dwv4iTeSzUJh+prBYp21WfPaxgQAadaYwpXCdQGPn52
xXkqZ+NY77zbBLR3aA4M7373L2ATtc4e3L3knyF3ASVCWJWfyz2HkRHMITKiII0ParU/ztg46K+M
MwH6VygPbAGcbaKH+H4/2GtHuA+NcP4c8h5KPJGhtIgzWe6LjrZM90eYGsd9970mQL5LdGhoxwD2
n09uQBEZhLk1yD6zJ9W9c1oSHUF0FOr58SDYfTaVoVdQ3iKfgvAWwYGh+xVkqNyLlwY1gOCDyei1
k89gu6G4GyOGBk74B1gaR3g4wASMhyQHhvJZvBdDDZtnOO36+/DcTh1oDzFRVQ28s4GynsjPOL5b
bzMB3K3fHxiyvcdhuBt7H2ExSD9j2EVDCnoQFgMHDDNZBQ/tubBoG90P8TQO8e4QE3DeJTowsGEh
F5ts0/55aywzCIFCEFRGz0c0hj43REIZZQqThy1JPsLTONY7I0yAeofmwJCGpQylRGKd/dhPMZFy
BGnnPgD2SgEoaG6mqVACCic1RjbWH2ZvHPnxYSbAP054YGtgtanWe+k+BFaZEQ6u2fMZnRFZRxgO
6Cja4DjWdI7G8R7QTwB6QHFoCK+TPVR3w4ENokHVL5T1jpeN9dXdkK1EEFbbNtyrify8gu5L6inY
vvz9gSF7nq0hp7UHOy1DSSActVHZa01ooLUYhSOzrC9AeBkfmc7ROLoD+gn4DigODOGLYH2/2c+B
aNgw9Rg/FwGOaWfel4SSJ8s82FpN52sc5wH9BJwHFAeHcwntCvcgyZC6kBmHY3XPLhjEM4fH6qCi
BAJk8uCU1QWUn07j6DWEt+gnIbxFcWAIX7lw7j13H/ajrjUVUVl+LgrbrQqDqn44FQ8HcAZi/CGm
xnHeHWIC1LtEB4b29fo+g16aUbGPiIl6RDk0iVOgmcHjZ0em+6B3/xdUCvafgY3+GG/jqI+MMQH2
EaqDw73PWkKz0n3gzsDpIn0DolcO2kH0REEEwVGtwY4KNrIf4Oo1xHfGmIT4DtUBIj4DP/zeze/j
X87wn+ney1WEONRo//bAti036aMrmKryQKn3aP/maIpL8Trgu8NMxHyX8ABhPy3d/NP5DzdP9iHt
FLbPhEGEBFbBsxbfxh/KgcHgQ6+xEfw/yNrrK2BsoIlrYIz0wFbBXfljPUXCPti4uy9PwHDgDlJa
j5+dTkbQZg66kKkQKP+lcZ46d0/lZxzvLeoJIG/9/sCQvYGaUWjD/ufB7U9Tw+kMyHg9x7x3vDdo
MwdRM4iJD/y2D7A0ju9wgAkQD0kODOXeVJ5BS/l96O/HqkIOR6mfvbURnCFtDXVIygDnDzE1jvTu
EBOw3iU6PLT7k/NZ2f15sYbUpsahlwn6VWg0zGZDOBzaD4ItH6Y7YNo/wNWreA/HmAb4kOrAEL8p
oU3CPiIu0PNERn3bmlfOUD+WHfWNEujAQk/naBzpAf0ElAcUB4bwtZv7bhuXf16i+/5zMmyvyK/r
U8DN3nbAyRGDDu4UWjpve2Ef4Wkc5Z0RJuC8Q3NoSDvrvFdXf7o7OzhkcJcCFBrJr3nb5AiqkJAK
K2GA82SOXkF5m34KxtsUh4ZwHKz3VkEIqa6+8OjxAw7XUJKRosE5np3A2WSOXkF4m34KwtsUB4dw
FO+j1RwUIyiyxqAe4bXCsscqQ6bAQZ+BDEON6DSOXkN4i34SwlsUh4Zw33l/HwlriInIhEB75+dE
5o5/DaWDEByHTiZDLT2Zo1cQ3qafgvA2xf8DhN9mceuV+4vO/vklQyNx7o9fUgenLxiDEsFx3dzX
CGKQa4iIPcXBfz37KeIFPbR/36z3VIgyxtM4si9pt97x6RXfnpT9XEH3+vV0v2/6M9bF2ny8I/DF
DXVvf/v4+nC34YD0uXJnZMJ+V2wtH/7+DPVdMphG9ALZfqCtup+nTexzJekvhLaJN+C+/f1Zgnav
sBGGdgcyiCqHQmBwnuvN01cEQtocOnuDIENLIkD886cImks7cJchPcIYIilwDEBTwYwrEE3J4/Lx
K/lIYQTOd8BlSZD+gmF/3+V4EQetHUe/J+f5z5+iMryI3ajI//4M5iB5+lXPLUVUg745EJdROJzn
1+AEGHx/v77qW2fCTPyP7GCpLtpQWTnh9y5fNc3di2kZGx/DvA2eAFVzMumPhhMNDjbAS758Qmnl
SmHRplyVHTUJSX62ibIKLO+KZsXPIsNG5mWuESpyamApWhKuLbLUM0ueJIJJLJ7HtTyPeLaQcnTj
lc5MyZMHKcCuINppSbNGzwu/Fp0TnOMKU/9UropUPrfDPK5F41bChknUqZOG7UyO2y4XNaLLxsmt
nzVFZ7IcOsxoC5cbiuIGDykJLOF3ODCVnKgiQ7b0zQuk0NB85b50mnBWYG7riu+kJ1irY2Fj9Zwn
XDIDNfumZbZsgk53RKIo9YXX1FjIJC5mOJM90WbRSZW5331CTqHBgqFpYXta21W6CKJ4EUVFZ2RW
emPRYC537pnq2LLouui7hGoqsNL8DH3pvGi0WORh181KRTXspLjmXigklCzlVPvuI2kRJeVxkaBY
p2V72fjqsdc1kbC7zMCFf5xyvrZwVYuCewtbk4zSd9dFboUi54pQqLoIbO9c6oA8qg3HIne5bx9r
JV+EKT1VopQaGanOArkzWCibWZIuWJtyESvaV8/tikXnBxeZFfsi75yTwkV3SUoKvZW8Y0VSbooA
+4J0si/kTrl25SjWnbxxzFJ1l22QuoJ6lArLY3OUurmImf+9VDSzRpkOWDgClnk1c+zouOkyXVOq
WyWW9dqhK5azu7zozn1XuXJCKxKlFc65Up05dbaM23ppN96tU7W2CLV6EVT1qUOCa4bjUBRecEui
/Cu2+C2zylmcsWO1ozOpyb4zpUhEVmhzSc7vYnh50obNXGq7Bz/gZssdPbOoIfvNaVJ7qihTOxFK
G8Ggak6Ewi1hM/4dpGDmud6dbVmeaPLCm0llCcsm/dnG3kItPFORk+9lhu4kCV3nvE2Fb3lG1Wg6
osGPzrcu/RB3wmntU9/L/Dm2E18oEr9xOk1Pk9LRbdf2BArDHxoOXSElTmWqHadnapNHx67LOkNK
cGVQdu1pyrcyye2ZRLJEBEkvPV59jbB3IpWJKkhapwZNm0xImF41qmTrZVsGJ5WNfNEwOTe1IKkE
UVzLrHO2sgvCTJeyr4iptqGllvoj04rKdOAcTCyqhJUg31ll5XrYSlYrPLdyV03mstM0YcjQYCqE
7Ce2nkm+b3hB7BiKwzMRlBIyi07JRVRY/lWsMlKIsEQnCaNCdVoiijQ7KYrmPFGSfBmVjSKwHHkC
kzRfUFX1TNstTxm2K5H7STTHHZ1bTaeZXUOwKJUgMeMijYkI3eCcByjw9UDKL7sK3tiyknvatV8z
S15zP12AfjvzHBzqGpYkow2kU8snSOAAU+Ez2uhFEIfXMS0lEFVuBbelH13VVVbrhLBzxVUFaBY9
8xRD5rg04iQ64SkHhYiBaV5fRqVs6wlPBOioYzu1FoGcml7l6UlXnAaeNHeoc4YCdOtnlS6X6LjW
rGAeNf53xbOoyN1Cr1WLneACNcJSXP4jqSWid12au0JJ6/DGx2E9q1x5LvPY1eUuVXVH7Xyzc93s
rFP9lUySha/llzhluR7kuWjCMhJdTQ1QeUuCrdK0ZZYtg7b6wqTkJiShXoaiDIw8Kx2zrYtQA51T
HteIxd8jpZBA/0o/09xBRltmgYDHKUaWMOU8lgO467b1ebWoPKeaR0rYzkH1O7dWCk8gZXAThbJr
QEhSOy7bzDsOPHsVaZTpAZfVZekTRygxv6Fp7MF/eUonQpKnRqtY1oz66Q2z2hs1ot23zopcPSjj
fEZLGwteN7OiVaV5gqpoHrdprAdAKLKKlt8yN1Bnjdq6nR64tQNWySkWShUBxHUyk9UwM9owvmNV
soxqd9bw1izz+By1/NhP2y/I8czK9W0RJ86XMiA3aplqJ03bVMtY8jIjtoJWT0qvFglCd3BIRDbk
Rkm/lSzBRhKHnfAdWOjcLRMhWfI30mjFtUVoM1NLSdO9ErXm2+YZih5fGGcVSqb6VsfgamhwIg3a
00PM76VxJmEIgSLbi1aF7xm06ZaU1Zd1ls/efgwZf07fPYbLEGTccQIK3oW+7USrMAjOcka+gFa6
UMPwO6jLTNStBgC0waJqklmg+oucOKdORYRKohPQVKfUyoWn+ZeOVV6xFJmyU+qlVojItjZxySrR
gggonbpiyF6/zfoo51BPCg65QqHiEFzFlzNEwzJ2C82PVnVoC7u9QV6oO/Hp2w/pO+Rs4wDFybCj
J3DZFswRLPTtp+Sln7ShX1arxHZyITFlKcegGJCVgt2oKmpaUvVNSoL4MtJgDWpoWau1IuI2AUUl
o8vOC2eO1JWXpSNr1xFYpTKuVhLCAUhJDaaceJ2gsb1yJfe4sSjMOQG5YWEdiFaj3RXFwdovAh0H
tjvv6lRYOWamE7i+6RfyvZSRGW2yUgetxEQLx8v1OJXnnpP5AkwRuDYOW6Yd2bgKXzecipIiVzQ8
OGs7XgnOW2mBcO2dIScJRdeUDvhNhWs4mscN7NpfrRKHN2lNwX5g+5SGCZ3lLCkWDNdmFYOJw4ks
Wo/7ZoLIOUU8MpqusUHfB6cWWpfKrKR8CXrxTpWCEKQcL1pPuQvkzDGjJOpEwjIhS8joFHA9GhAz
g9tlbDRSuMiKkIoQN8clqta+S5z7NqBzxNLQ4IFzRuIuEHKezlw510RJmquQsWCllVhg1jUnKc/P
3l4OeHQ9gECqsBxUODXUnxV9ueosWYoj+K5YcUzWspaHRpdUwYpJaS5An363c+qLKHd0zBpDdYNM
gEY9g1nphOX4fEHs/KyQOlF35IzG6jdZiZxZHtJ0VpZIWYaUlMJ2/VBUaqWaKFbCBQGjbtTYTQ01
k8AfAUWEwjjSXZpe26Hb6NjJY7AGZS6KJBVRks5Y2MF19GytwYFmvcIx17OQfGGkBd+5tQ25wAaL
81TPqOSLrGbfPJUta4s8MN74IqlBDWjBgkXNjaV5p7zK9DSWrxltYYUkomzJNa2qM99zrlOXXoVc
m7O2+Kb6viLAb0QmS0vwBdPKzMu60lWaO0L2JANZBCwHk9YSrAk90eQ7LEvfsFOlRlp0sulwNKs6
qRFSE5tYyeYIeUstqkwScwHWyFD8AumqWp/wzIMpqXIw84leBsWNXCcrTW2Wedyu5RrdpzKUynFm
0hb4LCPDr/zz2GlOecRmdawYDnc93Y24TjT30k8kf9mqnRnnrckCywgTcGhiZsO+BISxkrTLOi1+
ulyyBG+RrpTerChKX2e5YxC70KGj3inL5bkrp4AStkNTsTu97j1Uv3ROJWyZPq5v47gQtuReUEcR
thPPiC+dhGDFndpeqDi4q5J8ltoi0paKYmAMVjOw6lkB5j3KwsQopdQzAl+ae7V60nm+4JqbiBrb
tZ4jULodwTMPq4LW6oWl4oUdFSd2nZ5GKgWvtwik8yCpk0Ub8GPFrk8S4qU6jTlgk7hYr5G3cJL6
TMphlxAw3ZNDMy55pFv1BaMm92vwY1ZhM2PtLFYWFq9uEyQJNURnjGaZ2VjKqefUuagsyzopScX1
HO5c0blnRfO66owE/IZF3Ba50TK+yCrwQnhcNIJblVlZGX7HtI1p7heSKvfb3xcbaOJoraclfrli
YPer/CyMGr2pQmHV5352hmHH8rZugI3/jqV4+bzBdpo4TgS7C9AMcbzB/KFqrirtNLK/1cri7QfR
3ub8NzQAvgHYJLjIAjpFYUglKLS3jC/erM6LKvVQ1aw63Npm4ja57lrkhuZ2vHRiCdZcU50kiYtE
jBE+U1OVCubFEmwmOmTWMK6eY+mngtTLJpJVUcnlV8mNz2PErwNw32DXoxc5uW7svDGiwp6Fhfs9
8pRbyQmSK7v0K5M6TjEPaXlCPSTAsTBbjGodXLx5VMj8ViPaddIFBkRSjku5WLoyOensdkkT7bz2
7ZMMzDaX/BOfRCBMkpAcVW8SfBsmmekG1rJOsPCCRhUFDdcdaqke1PZd2mjZLbGtwiS5bL8zq9vx
lt1JheDty0n1mRK5maU2K7X57nQ/WvX4bdTeG39gOJAUgI9s++3KVa8TTxOp/OXtB+z4Q9uroi/a
evkCIQt95BO7XVFy4SpYwDQhp9Xffkg/C7tLD87jgUsKKWk2WHoNz2snV+AtNKKT4r6oQ/BJvrgN
fweNvnT0xYMew19wUgQqDyH4Ba5pf/XSy7dpPTeq7S4hK3Bj7sGoGTfBzDIksxKufisicbtkenX6
48rVna+NuQ7M9gdIdL6Ql2+/cN9q/gUjT+vihVg/MvpC2LTK1RLNBjVSzCoD6chsrst5eOnMNFPT
g2yG5zDPM6xnAgnH1IykMpVVdP82F32xxg4XL0W+Vz4vuAisPFBJBvP+rVkSk4tipl1wcZ4rwjHm
t1Q/ZUY411bOrFlE13RxYxn2vFmA3hPdPNZEbkDozNAM6bRcRPP83BFOI2zjayzKFdLbOV1qy/ik
XmRfwtn126zL7y38gQctkdwNEsmFdSlikczyTTJLbrCR6p5hGY7hmtEsPI7nF/enZrmkOmzYvWNP
aMfeytbB+JjMFw+W/vVtrsh28HNH3NnAOrhuXGWcAVfOUhOO3i3CuXUTIeHrcSyYsESmtyKYq6t0
Qb5DIM18+/njwvpfORpoG1A1UpsnbbNCXWzyuj7pJH9VlSh+xyj1WuUteR1oHdVV5arqgnYFPrWo
6nvULGr2o5XNFBUQipq9/VbjUP9+q+FmUgpB+dPUK1cO92Hnd5XYl/+3Bwz2fHKjBoyFsIHy6Qnx
IA6ocePtJ7wDDO8F8YWgSWGiRrwFQYuTVR76s4R860r1HVTem6eBcstxkHsV94pV06PSBbrWePr/
7T0GC6yMu7yM8rBd1VWju2wV+o3ehRdvP+Sd1cUHWolZttRCcA6sQcN0RYtMPyjOZbnUeZvrXk1W
le2+M3Wj+EAXNWiYBx0dtD798hIfqJ2RrcQtypUS/sy8mS87EOSbv/1ao/C8eMZAaAJby6XUUZoV
9RSI31+G4TtRhfceMFCJnR82shen1QqB0oZgtC8H70zTo318S/AH69hxIeljBbCOYW8gUt0+rhb+
GWwR9ONMd0z7vBThyduzJr+zGlj/1i9EB0P8DxfEARv1DQLDEWjVMxueLeo1Pu2Wlbjo9AS+ENQM
dSzUS0lcFWZv1S/u0gv5GHbtjvDMthCLSHfm77E3asihbf1v12W4ctysRtgCocPnvSGXRD4PlGWE
deHPFeM2EsdItCc/0Q/YnGVf2pNa1O9or/462De18QD3SsqZk2ot+BJGZXRG2wnChHYSGFfaip3K
89K4IzNLRBCxnWXzZK7q0jsa+j0W+MDuSU0pKVGdFCvpJBaNAZFN74HOsMFPyk2zSMzwlM+lufTT
vpP1Zu6f24a3eWedjJve30DwwTrxKzlU8giWZjZrZqnAwu29uqWv31TLZrl0e6dlVYTiFs1iI5wl
c35RiswoTWdZC+d78I6mlHvHeEdU/ivudDAlqqRBbgjaBq5SU5mzOQuMZtbNulP3BIt7e2nNfF1d
JgsI6p02Ov9iquAdRGYx92fXrtE7Cc/OwXNK/eLp2U+54Ps4aTPXdorBH/9zE4fw9797mt+/ecye
//dP803clx7kwx9t0cC4z8/tU+Vbf9jJ3b+Snb/a5BBBeeXL11P3L5PvFI4evFglO1n7lwUQT8UT
j0nwR6rf6Xrok9t3tkdwzTKF61hhwN/peujv1Hf3YbBlhQKOF+l6BYrdcd+yD/VVG3CDMyitX+n6
vis6DAiHG1UwG3BXyUfS9Xh7FfUbFrg9FDNoMgU9IOGao4FNh/BVnKRl2ayiWtbMqracBEJ/EBfV
fV5Xl0yi7bHXVJFvIuQXd0WsVF98JW9SkWtRevti9p4X0Mvigf5Cyxdr+pEb6BgMt2FCJYLSn97b
1sVK1Ca+5kDYmqQRXtl+F1mi5DFzIARSwIagqpXyjlfgl4ssVItUTyF3aQurg1SzDg07ogetKNA5
jOGUBgkC/KWjkornLaPWBrcSbt5TTNs28Ylj6MkGt47Afg8uchxIIeTFHMC2LVZyQ23bYE0XfKmg
VlKeFbyNqajaBnuGyy1VdJy1rmh9JM/DKmuhUKGKiwenyXOsu1JCjbwA914UoYMgwp1R3zZtiONd
+KV2HOaakxtQvKd9zaFQwA9q2phuLrEzN3Oq8B1PYhcGaF2COADBYG3IZKDqILhu15AcyFeQJ9W+
xraKIfMMGbJEJJAUvaibDOIkFg6+vQ3/tpMEMXYMDYWhOgVupoc7ASBFso0+RY0NeVc7WkVqh1fY
d8pVlGe6q1rO17eftG3zn56kwVFvDpfBwClBdbDOkkhpuzRz4pWaIGWd1nEWzK1ChQywnzgmSsug
02XUqjGEE2kdvrdotk1J/3hYKH2NjgyVW6AdBo+HOlsXKg5Cd8VTn65Dr6RrP+h5oF2YmyyDvVyL
APp5HaQ1Eakf800RaPmy1lrlFDLmGdLl2ot93eNR+EXOEiIbjtq2m0SqEgNJXch1qsVKBmlm1pUf
89Ie+ee92oCMIoEb5pWBQ4BYSSNKLekMQ03E2s2KHBInkl9EEEdv28g+rh3X/2GrWnLadKkzY7HS
uDrBFf8JiTuoBGkdm+tK7FUbN5Mh6EgTh78XuKI7IMtQJgTX20PZG5wSg2jM9nJimeqizCnkM09J
E0tTjUJzunlTNLI2K6qy1LMmRZdV2NJSOI4DyQYMQQYoYQAHKyG6H6ThVRLQEEK9EMa7rb0wXrZ5
UYiEpskXlvuqYaWRBZkxz3OFW8iQh7W8HDJ7iZSfpxJkBmwba56QIGUc6qRywgVlRXBFPPvCbiO5
gYoEnq4KKNEpSCjJBqsITKTbEtANStl1AtWqdxo4VL2zUKkcO0wFn9RuKg3C3o4S6mCz3aWkZm0I
OU+1M3BNJaPzmvskT4vrEkkQJa/Dgs+sPC2XikXITerg2p9bXIKCp87xrR9wl2kGjkyUSt/LkIdG
kuRk6cdRssSpFjy4UG8Bci+H/rWrWQ0XVarYx5kFubsW5mGOFaKdQzlAYyp1ls4wbnBlBpCxtfWq
ttVUr4hjmWEugysEYVTHkmwESYK4WICpIbUeIY9B6JYH35oQOSck05JrKhd0XmqeRCBpF3ZrlcWZ
maPG62aVr0KdSdOgNcmD+mduJwnVO1KgEpK3pLJnTeHFIBx1bbZ2VaqzLLYcIyjkEMqYEiogQp3F
MNFhBamZ3PMknVs1h4g+JKuFUgSWLhdSFM4z5pu2UrbospaxYrh5hgLhwUoqZnJRa/m8kXlzyvyu
C6zLEtIsYShaN2ij7MGxHEK6u7yWGh46QstAlcf3UObjFXImyqIsEwT58QL2tseam3bzSisLaxlm
LqRFPBLE14hL8tJr+y0pJPyhfqxNkdYAXKGqGpFlgT0sAr9OIchU20jPggJb506KGI8Xfsuh0KBt
Aq2A3E4hw4qqrRjntQ71ctKMSY5nnVcgOszWUzVR+5Snn4ezKHAzTQQpGC/LbCqX6ZIFRacUAiIo
UvQYCrogUa2VtTWrAx6EZm6BVzCjkR12OhQ3gcaMiK+UeuhkUgCZi9bOL3JXCiEdY7vqT6msuIsM
FJNi7ipqqa6oZNnWcSTzglNPj5o87dpFDqeFIMUKaWsemlZedelMy/LInbUBC9sFyvMwgexzG7g6
b2gbzDM3dSUdYCW3UhJ22IA2P35owD8IEkceknKY8ii69cJQC5cyFBIFpu8U7Kor/5e9L2mSFFe3
/EVUIzGJ5WPwKcI9xowcNrKIzEgJCRAgJvHr+3hWZ433Pusye4tus1urMvNwT9yBbzgTYxDslGco
uZGAh5M2SyQFP8CHuWuf0IyDkxIb1bupwxFA2VOLrWQEep+cKQfKqWEOlzaY1W4oOCHTaQiiqC4E
D8RUJO2M01klELtl7aaC7b3WkOAXDAfQFIFrZH8kfhUeRJXoOKda90FRmYoX28R1lHnL0KX3ii8q
zIOqB93edGrzbnxehzvScRHhcNOkK4mTGwiUiiyi1GkoIQbB32UkrdIWl48I+nxdKnC3I8QzXwY8
UdF5WYX7iF7I1lZblbE59IJnVy8UrFOXOlO0aT+eo6lFSxI20XhD2gT4tXglSfsZYsZWnnrX1OvO
LtGGjWMU43OoaPQarbzhGSO4eHdTuyZBaeOtwsFPRDUF2H5tc7bwsgIx/LleFkwWSqj5yUIo8tYN
MjjMySJ4yXTk06xlHJ8T1Uatu3aYyQU8bhA+2DEiz2T08BdL7FmWj8QlaznTRlWHYaV0ObaJsPSu
8pL0pfX768WpVG/3SW2lvV9dOLLc78HpZHJpcWBgUHEZoIOlLwHzcXU3qJIDONF0NcfRppzeq2HS
+pGyNg2Pa6iW6Tyu43X4lG69j7QXr6VZGvzTxmzbnK20Gbe9r5Prl78e+oL6hOPqGnIJoxbfYuoj
/FRSG73lqZ5x63S10NVDOyS45YcJU4HAa6ipdGzlXU9C6D1Bekofp3sZ1unceBLQROVP/bpbr1Lh
0s09vRYN3Ew5vhEKyJqS65w8ts0Lp0F6YnMF7RiT0DTlqxPx69IGOIx1UO4xGFff3giMueoGgjKt
nhi6xd62Prn0qeg/Qz8c95kMZUVPhol0uuHSiLlwQ9JD9Je4YN9B7adzP+ndV13r6H6drG8Ove9m
/XGJG2EPDfea725LrzWk6mtQ0TEyrMuKOml3XdykHz2fN7tm6USfJSHKnBsW+ViZ0d6kjVZREdGB
Qt1XRyHakaTpy6C8WZQ1bXGbbFA6gYluDenfGxRkd2LQw4lyuVbsUkUeftF13uYSTWaB5naYaJzz
tB5ndNpg9jF69+rLkM7ps+cwpp+2FKrib6NtnYWqgyTzsVooPmptiNzycBGxOHY4LUvu6TTebWae
x/PqkvpJzRCCscQewmado8O2xDg52id223e1Nubcxmt4641+aErZt818I9zSyavyoJHPmETsNz9t
UUZQOu0MMZcFT50uM+vRBVz/VIueVJ+I2QIG8AETmPvQjYGX4sMsH6BL8KC09Xi3vEnhezOkbjbW
xyr1ycNqPb7thwlqvrLaJlykFR1VcL/qeosuTdzVddZ3sx+fQwJMMXeYbmy5yA5nbWFtJbJhS6AL
ZdbWJVmDdSjmmrJhv7EeV78OV5EUjjvf5ryzcf9xiRx5hr4H1xo6XfqCa72x923aEhRY2qVqxyCc
hsJ6+kzZtDCSaT0nHyLa9ksBHc8YnkNes/mx5zYd0NxxRYNEhuxwh8XBrbdVMGpzmwydDO7p6tfx
ka8mxfdaV0+c9eB1S9FYjpqBaWwaz3XNcfxDqsXOSqZlsay+f3R9iPvexXEClSOXya9KnP9pjORc
QedizffxryDJn3CV/8eRFMCIv4MiVxPENQz1D3va3+CU/6qBC317/ddv+4mnXEO6AFcg1QmoaBgk
WCJ/w1NgNIVYM/SDgPoBoXjpp/0Bj3GGQxHU7NUWASgGL/3EU5AzgWe3Iw4Gj6hC5hugx5+Y0Z8g
L9g//hWC8XcIIwFgEyOYIsHI4UMD+eetg62iTycmpztVjd2J1Wl4Htr1hrU1VCvT8BI3TdGrUR9a
k9Tbu4SeyXuYnMOMt1U5xov6IZVdm43aPYwiPBnbmF1fQ3RLNgdcQBNvX9UzlPWd3Ak9A13soS4S
HQ8zlAch83TuwU0mXT09OdF9TqUzUABCQ5dgAoD+l9rwNK/edoq6FsK13EGfeppqXTjKvcPoDd9F
2m6AJHy+d8RgOSI6PdaTmF+6lLEbWsX6zIIWs3/11E2B7ErWOH/XEVYV8wBNXDKnbWGCLSjquqJA
i1OUC5Le6GQYy16QPBrpCP1fd2GRnCHkMOlurjcIqPiIkUK2oHQXeyHWpvnY9p+HRdw6CPek7wpq
6dkPxc2yjRJC+27KKpTCTDGWQ0oGyRHOcCa4N5b4x8R3vpj4i9vUzHd91MsMOxHGVWnJIR2mR6mD
J6b8djp2sfTGh4q0UGb3Xd72Mj70kbPtUzz66ZDJCcqhLEh4uA/IMqss4tF3zafleHXX76cWSvOt
ae+dspc47E5tLS+9T2/Y6O2MXU5eExdmQ6np28xXWx5V3belpY/Qgn7+cc/8T5eY/9+KB6A23LT/
6+e9+bficX366l8rx6/v+UPliACQMUCqeMQzxLd/qhwhpcBiwyQGKHSlH35WDvYL1IbwPkeYQYiP
ieL3ysF+CUgADwK0HsD/8IiVf1I5KItRGX4H9HGsgHTjEOsJ6hRlQN/+XDnGYVFtTRXcByP3so6N
RcKHKzIgc0XdWGykNc/VTOo7im3zyU4cHiafTIdp4yQnE6QRqeFj1ofB5Wr1KrFooHEn6j3Y4jkf
kXx4A3HjG3a47tk4Y0vd1+t9KkSXNw00henEzXNo5/PgT9BqtGkxV9LcNaIHG4bx9ZGIpN1PEDeX
YuaksIR8wMZVH+o6mPYqxfAXTcfAsWfRT2BJsBBg0+6qu7pamzyMUxiP4uWQLuyl3Wj1oQ8Xc5bU
tbtxSydMT5C6EfwEd2ABOQbaMT30xkR3YqExYNG0OSxdkha1CNIDJLgQJYrkk7Hdglqo6gyutdup
d3udep8XSPiy0Ux5arBbRrI7AT8pdSL8kor5hGngZjbsBb/m2RjeZf4IjaOJ4T5otfwSzeHrGmPj
htT5o+j1xyFq67KTAgCPqJ7G0ELAW3sxVKMkyWMhDnqD6cqLm/dAyDpb2/gUD7TKxq2dsjRS0F16
kdhJvvgZPASfcaIVdtbuyXj8EtbujW3VIeA1rD5d8I07e+/Zdr7VjA3wCkH91kPDGGBkzja+XSKD
Uzp2a9G75V43wRsNho/bor9i1INwV8qTrte7GFh+lnRkhKDahwZ8oUcIxSFJm1ZbLCK9g6FlzGkT
HuB0ujVrw0oDljqLiPzcie0hDMMb1QNA8lask9j1oVXmZs1j1mt2FzhfBW9YByJ3TEary0SKG4+H
WwMYbRBFHQ02k0n07lm9qyYGU4rndvHGoQRPVXT25/o0q2rIkggGG9qQW7R6ldUzSiv3iSxExKq9
i3TJemhDrbfRxyGK5nxmA8R3Qn/taRdCJl65smrcVBqV7kBRqAyYDH7kyvIjtCqgkCMNkShu8Bzi
9UMguse6bVdc2djiWGqzDkDBcythCOBheCCmXbMhApIHLWNTUL7kW+hj63L83Tl6qDwWHXUUPQ8j
/0LhsMsTHeRIsbqENqqPSxjFWbNMWCIwfwKYC++SEe13ZcOYd6SKd+sQPs0Y/XM+Rrd+tXR52jqY
srzoNNRTdSLO3PRhTY69qXCWRoi1gk8W8I63iN2yJesuXKo9fEqVztNm2FunO9gIZMH6+k3W0Y6Z
Drc6bpOuS1b8sM2XTtrTmizdUXsJK+qKkDu5dEHBJ08+qqoXpzZkOpsYv8y9Z2CMiEvqMDnX7Yzr
fG7ajHfrgwOGhCGlg+PPbTCmUcoPfj+GJbMm3DvBUwDPvT12fXsjpA8vm5iCk43FduoVhpbQwGhh
+g6cUjrsNu1Oni8+dV6DcV1BDo7qp49eFaa51N3JC5ZcrAACYtV97hMlvtsWnkmJ2/ghUeodmtAR
+EAajMOv6PZ/+ueVT/n3/fOaXnYyr/1UtX9vo9e3/tZG/V9+6FhiDLkhErHx0m8D+DVXMQYPBg4H
kTDX54n93kaRHYLcPqQ+gfkIwFr+cQBn5P982NWv8k+6KOb9v3bRq78BtAp6OXoz2tyfuyh6bLOu
QErunDfHpMvoRDD2tS1Tx3iS7V0VgjOTibxA/b3nWxw99A6lbRP+Y8DDRz1M78bv+mxd5RFOmRuZ
kB2Uxrfw2ObevJ3qltyylhQbTcZ8Dtc31wW3EBPhTpmaCw3Zjovk1kqMfc57iJX8kLj2Y7SOOeP9
OwthAUY9Ay5x1LCLSM8TWSyDY8Tky+AAIYT+g9P1ZXKYpVP/sibzCNAaUDPb9tGAUlaJDxFsrR6+
UVkPy1tajWee6t04BF8CUe/ncTy1PN6NQXozh/2FS3lJzbpLtzAXsrtMVMET2J+Bk32ESvsgCbmk
2D88be4UURfjkXKe0qK3WwEm8nNa2XvQqWexuBw9cx8uUxnU8WWgHfDG73ZIadkADsslnHpbyl6v
eHoVhx+Vmo+exRAR2Ucptr2nFBwKWxZ3w5OzAFP4Wt2JKDmAaS6Iij8A9Thszj6C2X1r6XrxWHuR
vL+dYxAn23RqBncAYJElovueqO6CqOdy4+kxEOFjIpMuY153GBNoeMJ6gX0iAQrq+pue69fAhI9p
F+cSy8KVdbmbvPFWUNhgxHwctja3ifeo0hWQLH+Bd/CDSIMybiuS9bIquV6hWOV+nydNf65Yvezi
pV8fajfxwlTxKxYeCF/6dc8wAaFudR9hTJfoBOtbG/3Yfgbh96V16bIB1WaDOqi0lcfRDIO6C7dt
rTIVxm2wnwdg3SlZcPZXe4w84+8N6MjMY92jNtgo2xh+Tdtr7IM1Cc5rtM3F7Aha51qZLAXIWPBg
U49IAtnDUGqzaBQH1RJ7BTNZia90Beq3DZMWhjzVJX05Ml/lUwLFPyB90NCxe6pC11/5Mlg/Aafv
gJV3OYQCwFuF/YBm5pc6nuC8relDxVwHzun7EmHeSD367FH+1bCgYC6822i0Cwd96a1eCg1TTVjz
92oLz0yNH70F7zsPE6y9+NvpajuGizsWaOjmgZrmZZlg6epmO2Y8ikm+yRB23i58EwB/Mh9Qdgae
aypsmF6qYRZZsqpvcP+uGcDUJp9n2ReasnfRpV9aRz9EUfyO48faaABLORfURdDBvy2boCswhsBk
rzl0PB05dPVQBKy6A2d3Ys3yEq7u+5T4J5WyU2gkrJreVEIg81JttEybur84vvS7Zq4lKo4Xn03N
n1pMjJjJtS2pnINiCmHZX0j7aVEbfuW++eYZZjJ/XYYC01O7U3o9cq/eKz+t8nSbP29G9lkNP3Ll
J29yXt/WcMZAuAJCgJjgEMRzhHfWBwGHFVzWdMc6IN19QPfc0E9jXyUw1yR5b6NjJeCzmuLqkxMB
PtwLv1YcfrQY9CTYpzdvGgpLY5ev3C9Aan4MRD/nDvPRRic4h7TIgwn233Acpmwbume5BE3hK+fK
NcZ5Xzn/FNQg4XjHE1xfwa7XXp+l6YJbtNIO8mTclsPCLA4v+N74dN3PXGCkhHWw0hVUa01/rKot
xrHNp47Zu7XBdOhAXrMmOC7Sv8hxBpbvn8aFYTbx0jSrPKew0a+3WvpPGJZuolY+gwrws1nFRTuo
OWPhAl519W4xg5KsdfrDIMMoq5ouKeofGImUut0BbgBy4hmAKPMVTvEUgJVwrHbyCrW0Pvy9/hV+
cW1XwScHSGad6MkCo+kaC+LoCttAvFH9KvL6zyxy3bD//Sxyfh++vn/7+xhyfdcfxhAfUSNRFGBP
gXwJL/1hDEGfjcH5pwmJf0woP8eQBJGDBE9VgyQAugBKMKH8xAHjXzAs4DG44LGQgQSN7j+ZQ+C5
/9scAiwBj/fCIg8hE/Rff55DAo8uIF60viM+bppTOladn1dzE3ofmUHHK5t4aByoGtU/kEQXE22O
29AcICX0udq3rQE1BXJsZC8gmMDAV/MzCcLhxl8RaPCJC7Vm8dhCsA7HVQ5g+87pq+daNeOho1Gd
V0vzaLS7W716zpD89coTCp/CoG86f7sH84DtkA8vq9dibTdI/2Dry+Yv3+IueewCgw8Itu4g1mgH
Gt0cQpsCj1TfZzNc+32DjRxPDS67ZdQfuGjuvTDY8tF3Y65XcscMf1ga1WaI8vAPAnsfGCZ2mOMO
4Qh6OfCYfg67dc0Wg91tVhCTGyiLyzQK1QFig7pMh4TB5sfjsunlp0n3Y9FGnd4LzXW2dT7ZBbKt
s8kLPFTVeJQHJLAIH6QFSYKMJp7L1tqrD1L6mFNCFe0BV9Q3fg8cA4zz+jGeBxjrE0hJ7VpFdxXD
gCdIRS7Ohad+Dem9bA2oUAt0Me6TEUyzsjtpwPpk2InqjCr2kYMoPaDcQRUroaJwM1nBs2puT4oM
7QMHx3zDuuGaJpA6K3AMbV+dwsSLyRGNwdM7umiIxADrvpE+CIsJtrKkV+os5wn7NlPFCFetbNHg
4c3c+VHzEKoUKRCrM2sWDPq9NtNHtNdb4/uiaJJlX49a50kUnYfUO1uP4kJqqiLq6sdVtqeODp+p
p2/VgnGhp80zEIulHCX7Gnb9PRXJpW3WaczlmOj7SLmKlkEwB+rSRFJtZxJhG/b1UupOxXkQzvyo
nTxOzTWHhJsWeR6Ulc0mvm5gnbHKQ8vUpaDzTINskAhDTx4O0Ve4uYcsCn2drxTOykCu5UQAeF0n
Lyh0kJ+DQaQCGIA2DaM25+FljJemwGN8zMGDfTjzmSjXCn+p8LmSpGXiwJxpP2qzOkqhfd3CeQ94
AKLp1b8k0YKRZYigv+u0Pfn+eBNXK0CxqKaw7lkPSSf0S7wiS4Y787QkGMhSt6Q5b20CARYmmwp2
xCvJkNkkeW+4+FYbVue4u/JRQf2tPHUPWRRW5JmWBABaPlkH7QMZVNaaJUVvpplPQlG0PoDpgmMu
wxQvzLZklUqMPrV2NM//wYKxRkaIDv7v+scRIoa/d4/re352DxL9AroHgYdINMROekV1f3YPwvDw
Pt9HfBW6Abn2gd+WWFBF6CpQRSJ0IgCQjJd+do/oF8h1k4gBO2YRifD83Z9I9f8Ni/TDx/VHLBj9
B7orHAOezh4E0V+lkAEcq0iZSUYYYGK5M6auitU0IdseHAV3DWFJKrG8lqGcfQkDy4w7MoKNgZQm
AKAKT6urgvqmZ1Xv7uC7RkhEBlY1GhAms8LmnjURyO49gXywJlkY1pV9kB5XMy0g+zHtl22Ip/A+
maZ0aKE77ebwZo2ixQKhhZ3bvibbOECgNsY8sX6+rsOMWZHMctgr26VniJEkApKGOOuXJfzQA5TS
iBXI+slA2xJqSC5Iv8w3IE/cjrIKvtpaT48EgqY3H9rC7ogYF/E2h8O6q63f3IJzMmUdGn5RXhTu
Zk/JQxySRmdsCRw6KOVHOxmsfW2yXIiaR0Rfdd8NJk5Mp5QOr6yqkEIzhqDgJY/oUUZqfKZL3+T4
BaOvbKvT/Szr5VaMEHWYrdrX6GmPbPPrcsU4jLXRX0NsUXbFTjV6R4R7wAzgX+08EzpD2JGuy6BP
IksG3uANp2k89NzfkB/UpQThXJJ+QUvd7uW2oTNqOtE3SKmjG+y04ui0sp+CyAbIqKH0voV7s9hY
M91Nk/6Kn7Q99pByPxFb+XWufJ+dAQSmGRKR5AVRH6IQLqouUWXtPk3roVRYxS8bcg4Qs9UCbHYN
HDSBcF/DeK1vo4Xbl6kx086mCtuvV1Ekl5Ea27kEYOtSYOJk7eMHoo23q/rI3gcVtqQRXr8bEAnz
jbX6xF2zlci+YeDW3Pp9CbGLsK4Rp9UAx0PyVuKdKx77p6aytcmNg6hgHCfkNDmGqUNMBGgCrqIV
0W2Qt9GUn+rBi1+m1PtofElvKdbeOxw+33m6Cc/W0BA4x+DfuU2up5ot6igqBC0Yb1Rn5Li5Rzmw
pZjtVTRSTSt4io2Dc7NWFP+prD8qq49B9d9P5v9Vd1X7/vfaen3Xb7U1/QUjZxAj2waPLwYT/3tt
RUChjykT//3qa/gTQHidvPG049/n+Z+1FTzbNcjmmiiU4mkP8En8k9r6N10wIsmBf+MAkS4fQt+O
tvBHw5cYkkWpgNV3Huk/i2qEcGmq34iLjjUB1q3iLUf+VJkgfcKfk90WiNvU9ZeFIbCHX9fUpuqR
UiW8fEgmuhORv/MRM7JUaPwsAec0C3frj7yIPYNCTcYXzJZdXpP6VkZ9nc/ecKi1fW1i5M1MJPyG
eBGbAwgXICvWm5XN3zRAy5xp0N3oDmXsZpRt126lP3l1MTTRWkAjA+5hAm0WOj/OR9O6XWvcPXUR
IuVEfTOtEQJuxPgpuM5TEC99M358ghi+K/q1BWcwW501IsgiiR27TdL7LSUfZ74JcOmVhiLaW7I6
QS1UsaryTVwn90YgSYQDcBt3LjE86yEfyuiCxUGKM5C3m453NxLfCUlCGPAaSh+XShezQLSIbumZ
E/rMXQ1POp6emYEIhd3BAuDstMfQhYJDE7gq56z7yKLBy1FgxSTyaO4r8TRS1X2BZu/FbeFygzS8
uy4YYYYjiBxS/fBlBZJXtXrfdEuchVNksnAB9TIFnAK7Y2cp6EvQ2yCbquUOiUhxqfW0FTTaRLlh
ussE5uW9Z6bHwJPfopqbPfSB4FW1vkEmzbi+QhqJKh+/WheYPbL19vVkRTl0S2NeUiLbJ5hKO/1e
ie3bssrHLfAhQpg6hMDoQTL2OgBd5bi+j/7Y+od1pOaODjy9CxvsCyi5eZhCv7AA2RkHABu+9BET
EKbuEqgNcqTKNBjuo+TjghzFpGrkOVjNO9RW9OAbcU28ipncsv/UuV/rHBiI/6bONa/fzPAv6hze
9bPO/VrMQvpz6AMC8HOGhEgJxS+MUWr+IkTCcIlnXoAFuT6gCD6QPxi78EBwkmDnAQyRQl8GYuUf
lDnU2b8CELC1pD4cNUgaSxgygv9c5kwXbTpy3N75dfCsjX2iGDVgYXzQK/K1ljmUJ6zLS0PCA2A8
QPNa8x2f4yUf14lnfg8SJHELogWd9+gDo85ll5BsCccYSZzkYfQBB4cpPqvFDFLWqsNKKwaadbJ+
GhKwultrWEbMevZ6JAQ0reryBVmIubdGvMAODv5iph4I7qW/+G3zjLk7Oifz1t4q+iPIiPZQ8uAW
o3WyB/4goFQ2Sx5LwKrb0D7LFigzolRB3w/22CPii7NRlFZDVJyEzTusJy+Q7XtZTaODCbwnb9MI
GOntebsqdLdIvMGWp7Ieuab5YBbEFR0VuSUi+DbL1yHIx1QcIA8QxTJPsOFsk8IvouuirVdd0M12
ZefU67KhzK/j8G0alxMZIUdIfXwhBFQe7cDunQdmwrWlt91OIzmtIfsSqfhofLi0UxchrzKJbgcx
3FcgrrJwZjDgAUHRMQIOhT+VhCGiBuk0iMkSwh6TIfQziPEfqVjCh9STX1faPtiWQYtbB0BtiCQ7
eg2htMkMkCRGK+u4gWVZI3yKawTIDj67pZU8uqkKs2iQhWLt46otSs42kbIP4B5iFpRQnMLWAcFM
X4p+nJ/E6Ac5J+lH4RmVmarb974CCJo8h+n2SjzR7hunsxFlD/BpWhgqkcoFOX+GPM3D4s80j8f+
FBB8l23o92nQqFxz0vr3XTi2TyDI8A9DN9CBitrC4WsF/cWRzt49LvDX1ACwGBSSWqUmn4YeMhXY
EQqPhfDXLcH7ukzvc+Lczo6Ay3rL+AEOgbcGt2hmcCi5xg6xq5bpKUKa2U3DfAgQ1OduS2+2HqRI
ZCSigT3Mpg5jvM/83Sg4yYzmSzZYexnVhttnfpaCv/UyYYc2gEJEec0T32DnXylgmCA5AqhCKlZk
TlhtarTBuNkx2x5jEQF59uVpHts402p7wmcut/0MSQMCeE05injIf8jxQQHpHUmvJ28NXO7HPC4I
Dz9ao4Z83qYJS0bbniydkAzlJUkmXYXtxNZjvq3WfBI+F4dWyuFexVGaLQhCXltHkPnYvDCKdUSM
CFyZFcksNRVOUNeWvFYT1Ni6wt0+0qOtjMyMiiWieaejvzH/2DN5TAgiQmMcS9bHgcuwC49A5+29
VeOWmb49hGN/UF5cKAN1jlIIZOpqj+BOC8ccav0VSX8yKVJhizEkgM3xP14Y3SsQAcbOH8iqbqJh
OpkA2Qzh8DQnAME22+yxmiKeruEb5DnkMq/Th8pcgR4n75twetBieWF6PSPF+JPlEIVruEWzxqgX
OKpO4eofnLXPI4sBD05ISwEoFWRpDd7A9mXiD2bXOGYzOqxnPgQPunVY+RZSJrQ70QmZpc5O38OI
f6kEuYNt7QKX3X2vEsxos33jSKPOJr19qiWmi7BnYNlU88U2CaTGDuTISKG3kligvc6Uc42rBrZK
p1+CSUUH8NGg/fBwDVpKA0NQVJn/rCq/Rqr7wF/+fQuH+W2yr/+iheNdv7VwPKMoBZoE5zNMl1AB
/6GF44kXeKIJ9AjonT9kwb/BQOkvGNLwEvor0hTxiNnfYaCrWjCIoUqAhv7a39N/0sPplcT4iyQw
8ckPlQUOgWGa+HMPXxcuYCzh4Z3eusQdt9hA7TXLYOR3MC0ETXP2YJI7MJ7UuTfJJxeKEMEiYVe0
oO0ywuMqg4dUlwg3DQsbNf7BX8ASsDUY8mk2r8RtCGOOqlfE+iJWIYDJeLDxTQ3NX95zda96KPWv
0WWguUCNMbgFmNv8Q5XGtsCWwqFN0HO2eA3imYexLmQ83kwAL5BBXH2cSfyARG5kEwB8MAhlm7d9
1WPhmv0GmUXKPGy4c01sjhY4SFbVBkaoEWHJKfwLWTVsr6kaHmIktB6mBhrAtKb31B/r8xRuZgeL
UAuFVm3gzuu/B1y8TgpLUeMl5ejel5VGhYv6cvYCyNGa9rzS8GPXChR3hjhBZDlAqob8xVx3QPQD
gw1kY+mQk3m9QVq6KumwvUMUtUPy6TWZHWAZtMmd2VsEVg8wEVJFACBj4s+HOXgfES2mF1So1L/G
kd+2bjtsEaQQk+CQD1/FIk2FAN+6hSi6OwCxKVejnmsEpo9j+9AN/o30phyeBDhbgPLPOKUT8oJL
f62Gdj96hO1Y3J1I1LwhqBONPuG3/jWrb64giKs5NIfYxocHsvod/6KGWtDSBka0D942um7fEPDl
/5u9M9uO28iy6K/0D8ALQyAAvAI5MpNMjiKpFyyREjFPgRlf3xty2y3LLntVPdejhmQyE0BE3HvP
2Qfitv6CHNqDFjVk7yh1dlOs6ECb/bvXxjvH9CJ4ifxz0o/fGmEAxGknzy+G6dDN8Y0oQ3erjdO8
a7r4Y9SkolqcX2lnPnbLdAcw/zNu5Cu9Wl6TIfUCSUNr60Tia2JOYJyj+XMeN5mPNB7/r1WyfjI1
sXV2DVvdYcI5OMqF9uU0j3PCx0LDzhEwci/h1CKOjxdWYXvTx13m25n0tp2c9cPifBhpJbCUdZ+G
Dj9RUQtzA3jsJkPFsbch1Cq8LoD6IM3jvGfMG79HWQOTuZ+XHU2kOkjnaG9q7WsyVoeKxyYoXYSA
+Pv82mkXNmcqZpqTx2kUIUcU7XYOtRdkEFeytoxNaqZPqB8i3IGmw+GMrRG7MW6YQ+5kCES76qq0
Uc/FeBf7FWsYy+yjjbtLXYgvQxueZc62nM3pDYeVU22hiZeVdyoxWvom05cgZU9TcQJophvGfTNh
ouliyyCxgESozH1dnGpb5PZRbwGgZFb9sGgS4WbsYjE27SdHix8mTtq6N740sUiOdewdl6k5hZFb
n8KqfZFTuGeU+aBJeYwt96KB7Y51+a0Wy01RqANdwD5Y5AwOE93IBp/y/TBU+wxrV9Qne5XG3jab
vJIW8CQ/t0N7jM20vw/dYSXs57tiGk9ylYn+tzr9Xp2uBpV/vbVdVyUhQd/mP29u6+t+39x0CkqE
eDTNYB1Y67Tih/oU6gGBbVIilPuuxvttQi5R93kSAgfb4Wqu+a0Jtw44IGis7CpEvauD5t+oTh37
TzI9nDEo3RHVW2R+WusA5scmXFHTy58NV94U1jLsaj0UGzierw5Tvcrpn81OPmXLXTgPe7Mxtmbj
3vVd9BTmS4YVzbGCGilQU87X8pxG2rs1Zk8Fvj/InSrdY5N8kx1G/XnEmVekBz1iIlL31c42VBjE
iEMCUzc+a+VQvxldmfhIr8dtSv7AbonTw5goeQgjdVXCMfBTK34u7IoF3XtdtI58A1ehwmu+zGmG
Vcf6oqTxMg3zWtxM192A/XzG1Lmpm/TU98iLbMhvz7PufmbVS05lDVXXGG250ev0Kevzz9Del6Mo
QPa0WrVD53dYGvPz0BY3XgnOTzoPiMsQNW8br2Jomo5PfZy8uolGSVU9t0qLrjiobrxWBEU5MPsA
QATcbJqTGyACQTPD1Ma4+7WquwvCqYbD+3jjUTJRwplHUe3SpqOGqAgWeIjQBTq7usteGxPtEb/i
vm2XddY/bHKRU4NSLwZZarpPoQj9ym5bhvoYjUNCVdJQO4O5Gw9V5wxBmPTbsUrva9Tlkg1hJ7DY
BEOeI+rPvyotHjed2TK7pZGm5BLT5utvZ9c76KkuIZVD049L9tUkEYgueb88D1o7YoN11BtinGSD
V/xMBADm3RS5fugx4XLOY4ffoPZu2AQ2MrXXTmR6HiMaY8LZOAA2/E5McpPr9uCXMbP9aFlF7eNg
+HkmqKOcFi5t0hVssGztc4IFviuWW69zvti1dgSE3O361gxCHYmBac53NOzawDGSQDbW+7zSiUWT
3pdGkYIjV3uttp5somOagqmMDkrm3GjGMXer6zqdPg/F9Clu27e6YW5hjDP2bykraq+e0bcyik2W
dsdh7qrNgA+hTxh2L0hOgiQu7kjCsYKMnbkwumpHUgzhCrMc/aw6WiZOr9RxP7geWHnri1DxLpP6
Hi67jkW/8OvBNf05tx5SAmFIvzl1xnhdLSZ9ka68CtvuDK37aBY9WiuyYNzBfUsZU3lxtJfCzH3p
to9juxrANIoxedTL6qpX4lvFDpLp0UXTy89lmz/JDPdIvoxnYamT1VfX/ZCtDV/Uk8Wwn8LkLHq0
Wst4qL3qaCixs2dxaCK6U0InKWW2TnU+nsZWvwV5ke96YmdC2tqjwy7ZimUHfuRS9zDaIcNfIUa9
x1p1ypLhAO+15xMWPTpe8yJ0dR3VzqWsh/c2mR3fjcyHtmqfo5J9cEqv+xi8djTfl4RigLaLn7Mc
csmYPEeZs7ej6lDIxD3ONsfZYYy5O7prq0Sox3wZSUZ0FNK8K7SBfBZ0onGvjsh3XxD35QGG8nzj
mf09sTLnfhUqLg6+inIpXtCHHJx+CGr8PSY+i6B3y2vUtZ85iu5HDWGGN+7yZHgtVX9obf1jaWEv
JogyljZ8SWgz0upaAFbcm6SxB0zEclSAlc3aN1nWlSYY0CmZn7yoPwuP80vXA9DEigfw5CKGnBPA
PPppFV2PoSi2IAPehqRzfU3l0P69fVN5N7QjUjz7065odINcFuNTYvTnyRDPVqbdwKZ7WNZLaLn2
W21MPI3R1jLHkxFpz5M+XCz0xXo2URlwSEHi/MXUmLAkdZTwnDCM6LgWyrB3ZU9SQOPiV7Cs69kr
Or9L1oNHus9KrLutND5h3rpqMELHMUKnVruDUmEEpniEErpFO/iW5s7Dgq7iXOLhO+oRKE/O/Vqp
h3T9CGBa7M9GLffMin1hjfYh7aTY4qQ3D6vA1zSjb9nc0eODBX+anflsMFaGaEJjUSfmxGnQKnJT
1IGJn8OXkX5oi/6lHZOHplzOcx89hqo9lBojlGn1OGHU4DM/RnP+3DUxlDhxm62BNPoQmKmcWVam
vS2qy9hFj4m+oNCVw0HLl323uEfKsLslNw4q8vhqjIvWYP4nbuiOVuQDtCAo+2iJYOuv+iFjvKst
ed2CGZVb1Cxmvu3HJvlkFwlH5VA6J7NE2Vq4+cq3x6LSLGi03YGnczkjE6XVp/hIdL7AJ8x7Jyo9
0jRs1y+6odwuGv0lkyEMQ6MBcW1fvA0RX6cs0x07DMdZrHObmjganNb00Va0i4ZgAeqKXw3ecAUT
u/Abbf4o6dNCkc8565ZZYKXK8JHhuFs7z5+HCumyPstVDOuWO9IB0G8XqaRKK6IzYrr6UjZG95Ia
Ds5Pe1EakrXRvmvHElW+uyATGnPhot8thIEuDY43lvjzaKkrPGi3ppvtxJTS01k+FU14HxH10zfQ
URzKEDN3mbwYzUs4YhdzonGrDPJqhmza9wQXgAro3oa0DwzO2iK0rodxZpMhhYi8AMLI/MRqH4lg
mTeuE39hZf2kW+oQjvFFt6dvYWqdiNdCPYSUnBupYtxuvdSLfWKIcx0muRVIuDtpnu0gmFwNPVu0
mnt3I1V4SXUbdn51z9k58RGrHetInu0pORhq8aOsPhI+RRCHnsEYY1olU+vOG4uHbmLDqOZ5U5Tl
Y5mPJWVxdsJvdNR17Zoha8BRaG9OzZFW1F7LEGs4zSmqu2cciic8DrBM2Gktd5e59XuYLts0i+6m
kJPCbNeo7uOtoiKzm+5bEXtnrURDwE03Tf2p9/J3aenRCoijy53cKzPdShPRsUhn3yrkIZ70h3aV
B3elpgUA0vzZYQanRsYP5HWEqe73XrvrUuNQ9ObL4IogT0G3oYYPLIR9HC2atapoWN2zF7yH6PZs
MDcIE70M9Xcf5UetTj95Xri33OWWxjO41c54nEd6qmn9XBnERFkFBj1tSL6GqqIHi4MBFZx1M9r6
TRhZn7EfEkKV1gRXOHgbk6OX6N4uisLTkC3f6tm+6WpjbRPmcHZMbpaoGm1KZ4cyb66NbThL91IZ
VH4Cc1ruyk3c6Xe50M4IupdAi6xd22oKZXtMRx6JyyGe5as9pvODx0qzwcJ3niaXBjceRFT+d7Um
X00TKUSdNC86fWMfDtcua4c8KFs+tRviaV6Xngamz1B58SFSuAzRTF7X6O+ySFsumqlOCIsakBu0
expVfCBYRJI9N+VG8Kc5mzfGQD5HMkHBWorj6OAWmbv+vKh117bFy2TwoKWo7zZqwo/YzAJSW3KT
Af0gNYkecby05zpUEvCCBfY+hwamwjuvzV/1pBaH9XGXFmWhV7KbEz5lvbpxh1Ze3BnjlJw9q0Rj
Ux+jWn80I040la37dO33kV5t9CI7N5G+7x2h/MguPlCmkkhjmQRJuY8ZdXbSpadsALKej9O2NbuX
2WjuvQnXdVk7N6kR3RROussdMZ/KKf3U5N6rmFD5sA6fbCstt30kSbjoxOtSeEePwAHENkm5Lwd+
sNYYu8pIug0AueGQ5jlDlrJmd4xEoVsPkP5MygilNExx+SxMphuW1LamkYTLv09KJq9XkqXAHu8h
NfqpgDITXUfWVCaXFNVRWV632Oc98fBDWfkXOIM/iphX3Pj6JtIQUOostAFrFfcDGzcLJ2VpbZuQ
SHXUymtdo6kgHrvx8e/fhkr0hzbn/72Ng0gaHKaAovjTqDLUdY8qQOfgbn6M1ZNm/RML7s8/n8xI
jGdQJfm6fv6uWm+WVSWL/FKO3Gi0S2kb/159/8XX9Be/v4Pyj2+IL8oG8PzHrwlXNCMguykuLnWH
fWt7/wBe/iPJ7s/fz0/XWsjMiHECJSgF9loRZMZOkS5JHtK3PN38/Uf5i7diKi2hbwqb3vcaBvzj
Fc/dSF8YaGYXYlV6haDbJ18pEgHbMAkdf/9e66/9/yLH7x/rD5eFbsOP76UbCRQ2mecIOQKv5UQX
8Gixps7D7u/f6K8+1I/X/6cPVTr0O3v31zciBK5kWhfv2EfWrbj+h3tt/aV//lCeYehAASz6rT8H
L1h2aVZsvOWlBZeVfxmmrR2+//3H+avb7Ye3+Pl2W1qbsxI67EvpfknDV6H9B7ezRzwZYEcgjzgs
/nhd0ia3O6GZ5SVlBbQcxmz/weJFK1QnHpbJiwUZ94/vUGol53uiMi+L82V0bhgY4MD/h7Xrry46
NzFCd2GtcjOUGz/eXR7N1hImYnFRHPzmwAXZbN9hn6pwq1n/cCf/xXvBbkCXaTiuY/xqSv1hnURe
RJMttctLvNbU24QM0nnrNH7FGev++8X/ryVoTcL7fdH9E97D77vu25/7neuLfu93IrqB4gNbF6Mx
hhye8t/7nSb/hAyGrBmH8dwaf/Z//U6h/4IUh13O+1V0syYW/tby9H5Zob7YhHgEflWC/xstz+9N
1R9WhpXvsa6sGJCxQQNPWH+/H2/IoZ5aaImxdWknoTOqH47jLAgpTi0L6VazQ7kNMLybnylRrE0b
iXdlueeOSfHGXoFoKVFV+06RgTtWEA50KttUVz6VT7+Z2oEEVGZywlMIbav+bfbK1ziJtlD67rG/
7Mu5uzIt876pUeykDa0RrzZbKm/zXBZosiPNeWozj/RKHk1QZeHTUqXPNhxG1BMLHbKpuNiRdTFG
ufWa6srJG0AIi3VcCMEKyM90gyGesOcsW9OtP6AT3fdjZF8RqbgHJv7mJrPvtcunCfMc2ufCJMc4
y3wpinJj1WGgTygnnTr+NBr9Z5KgBBiA+GD2WErqlvDWIraU36GeoHVg3WRFc0W7jpJPqY9m4Ag9
aRX6h9y9JBhNgjFqLqk91FdT0cEXS9DwOAURwlmsmC7SGbhpZaXTn+tpbjZi+XDNgSQT4bwvCV8u
B+b4zoRe5set+sbB3btOq/xoY2/1Q7Oe6Uy27qUFa7J1nJGrRvPIVwjHAzIS6KdEbDEILOQ+GdB4
4ti1D2Jyojs9soz9UqeR30So4YvSinxYpUzbCiva6nOeHixryrcaHR7CEFcK8QJTV04w7xAtgM4D
u2JMM9JD0SY7GmQhPAgr36qiM/ddRfZZaaVnGgOnpUsvWWkcuzlaNknhfnAElX7qFGKrtYlFgOqc
bgkohpdCvbTV05hEWWGwbKnG23epRPg5qX7vmTRcikiBFYbZeI880d33tR1voeXQWdfDcDMMueW3
lqXd5ZyQ/GLhkzaTpAKQuty5kdYxXxtdf66ieqtBggTtliVX9I7HfWTGj7PZ3va9Xm5jzZ19TM5v
1ZoWm8QS+mjjiavaQ1gRGSs9e1m/osQsP4+tnT6VYC/9NvbKw9yDCjenqPKZhBqwTdCIxTW2M0Ke
+I6V1h/cERFlPOJf3zh98jUrEgcUkxNuh6ggTZIM5d7Ot2FYopkBgIdjqyTiUVgFJtK09zVsFITN
FnkgGSDcLcZ0l07Eh45FRqGR0v/NzfwGcG53gK340ZXLG13zeEeZ2Ps5kvzrBE5eYK3NZ9XIo5xH
Bn+aM+zdsBT3ptZ/SryqI26w65nGxeYEwobk1veR34oeH32cGMpN68bNnlyiR4LWDYa3kQyYAl+V
zMe34zgbvjf0wLpavNGglplPY6cuS41WIFN7y3oaEOsEmF0fiya9ctLydnTaQNOc69b+jEPw1Fdy
eEHk9g1P3XkSmuaX6FY37tiP5x5I6sHzaJEl8EdoP+hnk3eL6/g0DOIDLowZGEt+rRNZ4Q+e82lx
QUIn6eL6XVt8bR040WBkj1U63wHRJ209gWG8eqPLwmWamBhwM4fY3nw3tw0J2ibFfy9b5NNOa9m7
eeYSGhy0ey16yKfws171r7VgeXCxqGycTJ2S0fgyZbTB2owA5KGtop2Bz8BILGxcQuE1JLnEWYwC
xdRwjRTguWdEtnE0cetNjutXhVMeXdvmf3Y67uIspzvbVac+1Q/gB0uYD+Eu1avmknjd6oCnW6FN
3qab1Lc2JPXJHpINBGD5Ch2ssLcAZa5Ls3uvhEOitP0CdRA3dkFQnFreYCVDBK6mAx8638UmBmpS
uTe5dG7ilFXGI/3OxOwH0ojg68o4aI08zKRpp/T3fS1ZY56LM3nD6PKS/K1jeuKU1g0JqntNNPsI
EjDXNJhygz/bX2I8MEGb9B9t4tyCFu+29IiO3aoy6FcFicjuoLdq7AVrMOt8irv8rkCgYCTxY45g
IZYl3WoUDD1ShpyEaNCZyi9DLHIFcgfCG8/J2u7GIdMih0Cz+i3sUR2wj2nzvnXN1kXlmOVBJMt7
HIBq+9+z0fdxsE6V8a/PRgFrivryPzCYu7/SO/HaH45ItiWo5SkfDI5BnIl/OCLBRrR/Ex+v56Df
RsLuL5QzVDI2vgkYaT/qnZxfONPYNsRD+z/QO62nt5+OSIyl6TNwTlobD+LnM3vhLF5Ja+uSD8Tm
hoFqKv0qZ9RwVXIaYaIli6c5jXiAcfS7+G43qV0gP8LtH5cagqcufZzgAGTu9DDo03kOkffWsYQz
sEIDABFfgUv5NBIw5UAVsBMQXgj9/WZ1E0wTao5eBtNKIljy0S/YhFBgeX7oeNNewS0g25pY9O8M
vxVqAH7U3Kq1k7m4BAanqYsQh2cYJc3rvGIR2lzMW5YJUAkwE4REu0lupBmQ7RBY9UKG3djh6wW1
oGAu5LjEuhXCoFqq4WR8k/Aw0hXTYBvOO3rDJBggOEjovr505NGaXOQk7GIwrF9kJPauUy/rJHYX
r0AIC5yKuSIioLYc2hUaMa/4CI4kb3MVvhVwJfQVMGGT60FvMwkKke0zGBTsnfTfVyyFGlh33Kj+
GumCVRl2RQ1PzUegsuKjum8yNJcbKAhfktomPNVOgOjbJn7lSG4B1Bj3Jke3Da495mV0fhB5Toy1
xuxk2M3w6nqDwo5RqW5HFECwCCdZu63VLp8tPcghsm9d7Nt+5C34OMyyvWaKPm0yNDzMuJJ6E+YU
8R1SehqoWcypCUz8rCfhttTb5JToVb53vbF7MO1h+YT0PEZjAFo5a3P9GmEu3p4xy14rhUiUvUa+
MHMv7ltlNLcxDeuja6jp3HjICoY5r65M2QC/0IRIz+FY1iv5e2Kct9AFXAo9fJsYybsbCPzNsTT1
u6zyjG0MaetJx1E+7EPXlJ+11Is+hJv322LlVI4d7vcMdOVcmCSqrDTLYeVatgqmNqDLDsHNBPiy
AYDZAsLUW4iYWtPfqJWRGa60TIdEVUwuEDSdlaUpgGqKla7ZFDoD4JW3ybQPZHzE6AoWZ7lSOeXK
51xEZmyqldmJ6xrJwHeQp5k8MA9ZyZ4wPquV9snpcPjkAZ4/SgSXfrxSQQHz4JECFDqtxNCiTjeT
C0P0v4v598XcZlX714v5o0rKpPsLac/6st/XcfMXCkidHo1OvAIw3B/WcesXaeIY/m5CZun/rc41
fkGP6lGC0nD5bl7+sc7l73GM/r+e9d+ocxGo/ryICwpqF8kRQiKXX2VtX/3QDGEYjcO4aYvb0qgF
pk2zZ/SI10AnFd2aR9Pzp2kYYGA59XszFJ+Xaon3YCgehMaSaTlvM/P1bd1HB0XV22BI9DsXrn4v
nBu9wxinpQCRqpqRbVh5w8YGf7cza8nNWUc3GlLxFf1DzRFWl3buvmoSRJ7tjV9FrcHZrtqgZ/bg
V25ymsQaxe6l1xrsA6VX9qaKrQXSjBw2Xci/ObOC0oOYXPVqnYzvliKb97rpvmmTsYvHzmArig4O
Tu1yyRoKmxiCYjO+jq72lHczVt3MeLDs7iVC4Y3MW3P3bM/yEmEP2NK16iDgZAqIf/TFcRbEpfYA
tMZTd1SAl0o0uR8v5gNhUWDX++RuMjHT6vY30RV7S41fWpGchDkjQWWSNrnmiXwD/rd3KHT10lvJ
sZpWdUUWvVStfPHSN2tkiiKs99bz3pXZXtSSPNvV9J4JF9yhpS8b15a3UA5NMIjjoYgTDdGhxhxG
66PdnCUPFI83fa3dLFYTrrMROl4m9Z/N6B73TMt+YrCCjbq41ewRCzpUDt/WiFeJJuOUxjLap1ov
CQzPcYn3OvjA6Um22hVWbIW2p7tyKxiQuldc6hkY4Jw1DMPr0tzP3bh3kVdtVNLHKCZyd585sWKe
jvhYDiGd1h6vh5Hzrw6sRoW2OHQd5BP9rdR7NjtUYJrmNXslSrgTJpa/LDuadpRh3xkj/IILg3Bd
HQvNVoEyNcaHthUGIwJg6Po3MZdiNfq8pZq6Z2O9JXzjGKUOzREz3Yu0eio6cfCMCXP3Ip+6tIEq
EX1qKzZK3dSCbIHFYfdyZQx5MX6M5aVMkUBE2AxCp37W+r7d5O34pHngtnhpvl1yrdlaQ/Ywa+aM
rIKylOyUj6JlDJBU9bWYvUsmEJl182T6bkWNNg3jdnKn6uKMOEq1VLnYMRL0Spl3GDtOIJmlpi9d
yKqtt3W4sRT0CytLn/ts4+TJk9UZOXdggoraaDZCDH3gduBPwFMQgjiq+jAZJjEpq0aCEAyB3mFD
7oK1WTTtbsa2v53LZtk4ZnGTlCbeCY2UTSpPFUzRsjLZv2RTo6/32oNAoTJ/ZDp2Wi1S95XTbq15
QjYVO1tXVJ/g+33AE+QI54gPteivXuud9TG/qef5gdQAx0cFEuOPjXGWFM19jCEgB0HqJ/PRrZYr
wSwaHOnEEYLZHKx6ESh3/jBb9ZkS5zRW3R0Zv9do9jAGlRB28ZBYHsmjhj5QyJUrf6fP1ml0zAmt
6z4w6VI3TiPy4sn5kuA6pdOHHauiOjerCWrg6MqrjtaK3xI8xthavLDqApCZsTUNuXzvkPujJDaT
DQvyiT2Ullnb97t4Ga66EKmvqaJ7GU9f0oSRNipHDO8NiP066oygFUT6ApKGSUdlH08Pnd2Q8MDU
Mp+Q0wGFM7dlaSseuopHwpXXuULIXk3hTZUjcxB9SBQgpTM8lUtVew9eKA7WNLuBLHGl9HN+H9b1
DalFzS7q3PxFofDiQDmcNWzdAXF7PNh2+uxIq0M/PhL/4o1QBc34bSor6fci2Q1jecWCfj+Lajg0
wBjhivV3tRhMP0G7PUBz2mNsXUtzC/eZrB5DF0tXKEUAjhhw4nDHUbGErkPmPboKonmUsS2jnNcO
w4MtU/cAVfcNN9TawlR0fUrMXTJttCBatA+0DewXsUo4+ml3gELepMWz3eTghEThakE+RSSyhEt5
o9Nb8lXVvBhuEQbEf9GRmydKApOOXAxnclOxZkNJ13dpone7vKveei95rmpupDEsd3MXKd/gkmM3
w+EwWhbut0mPdvSU+U6RJx0tC+Ax42FItQLFS2WDLCJCL56zu5E9EXYMCLjExnvHJCMKONByu7kr
D4p0Ih+9TnKutQV2nkivZ82qcKA7kFH1cQTYKJ/sbt7DwftqV6uLqv42Gfy4VqQvUnZYPxSliezL
M7VbAwNnucbPQpwVXRzdoDWY1wr7uLkeQfXqpcnT/NguzZNl8uDnpfWsQfDrku7r2OQ7ZBlPbPb6
KZEAz9j/MYlFFydpHr0lOzAlBpkLog5KBsT4WXA6xX/urJkZ1SDAuyl72JiO855MlbYpVEX6UFUv
u7ly742waLY2uiAkcVO5rWvwPhjEw6Ou5i+S4E+u52Dussx9nEoimt1Qu0qi6ItKnQ3+GKZ5aQ0l
seL1Tn1bZUg5K3q8W82w39FYUpl1CdElFEppI2/1Xn6qhNyHdT4dlsj6SPXRYY2lSwcmJN66U4nu
z+Gs25Hx5evIlPFzGWCUk9nDBGq8SprtnsiS7VJzYWkttpt4xmSSYpcNpJZ+0bG6w7QjpSkJ06AZ
6lMy5HzVndpjXiefxUJl1OvZIY06Yo5duIB6Z2Z+Y4ZlgMsv3zLl+BpH2kRlGqndAIY8qIphoH4B
pUcsIquqfC7cyMAdEdpB0WiPsRqflIdzo0y8oBpzunUGbf0eyHPUVkg+RPxArdTg9euOPTjAoNC9
J1H2t1EO6MhqO5hkNZ2fRvI8WUO3myJoA2ZWHjVOTjyQqR6MJlJVaF8TWMGIb4stJD00EocqqJFv
Yz0wJZYfUtceNZQ3VBYIgTMv+3AINCGQ0XwfZnUiLhFMkmO/t4OD4g/0YBkZV2GJ8gPqoQgmmT1H
RYEuZVJm4FKS47LcYbtEdXLmYCBoyFKXGn16Va9I1JrK+8ZMqmPYKP7NzV4jzaZ/O6aPhnKZH/Ta
vVN4EhpydRTe+Dxx5gJ0stR+V1fltunoFM52H4Ema/g4AqWbOyqxrSpxcpvq1nVnZhYO7Aaeuw9E
GZAhRhJgosza6UP/Ug88urEy7vIIxTb3wrUlk25b2indvax+kAnXiEg0i+PlxDqtMCMJBXVQiivD
7d7TguBpdCXPzQQ9vOj1pyVPrqY5fzSFVmzGliXV0d+IRF9xNyXexQ5kKuXYuW7VrtQn19dJpmM5
xGfdyfSbx9k4HrCA1FP5bSnUFW0VfJ9qOSIZeUkAseK+fqoHBM4tpzwSnjhnNtyZsTc6e2hD/JK9
s9cn9QEPpmENnl6tgjMfQ40gydOXniZpSOsfduKX0M3e0q6/CNEAeumMTVRMKLlKdkqrOcyNA3fM
2E72is9oqoephd4umCwTVdfo6W23WKisjdmfrXgbh0xP1XBWxC71CdAMG/HWVZsac9BEjpnd5eUi
X2aYq+5No9kDf2F3dH5nV2Jjq7X/1qC/WidXp+O/rkFXFvS5T9r/ubwlONr+PHZdX/5bLWpgh4Tp
QqSCqROE8JPNxBLMO9Hv6N8zWX4vRy3sJB6voUy0CLK1PYrE38au4hd8JryMk53nfh/W/hvl6B+1
EgxdCcjFOOkJk5+HGvqnjqJiy2opjKMLQjT8zqdExP4PX83tr9KOH0NrxfdU2j9KPoiA4AcR18v8
nw/1x4K3MCrdq/N5IrCWHn/cezuKi1TtnGK6npj3QOtgH9zDD0UIqdUA4QwK2gcTO0i1cTtPXjvK
Id2TUWlz3SuN0MSiZ8e+llLTyVVscZHgFjGcZduCsavqUa8PWUyyHkozfT9NZAiyoZrb0ZDGXsUC
0nA1pntL1syJB3lLSmi0X0H3m76K1D7RIqh3kapSbV8WqH0eSrXEH+QTDjvrV62a2+ra1vtVw+bl
/GlLLV/Qz/oudOu+i97qZmruOkagRPARPM1uyyAkfrFq8vQwFfqQFyiIEZ1bQ7NH6HMee0m53Gk3
fTx8sjPrsfHaB4UCOSqHT9KGvePKhoU2EWcWcuIXmzNK76MRRRnGgD7ZRJM8jWt1oheuP0TVXk84
2+u0F5ZqvlK2/lqnKSr43MFAwoRGJTI9gBykKCIfXWZMNGoL4yExBRytjG9xXuWb2fO2cyVTv/Oo
ZSPmfbtumux9aYXLqZnr0xBq+6nISMZJoj0uO7WBjMlZs6Ytl1wXo21tQwvnCHDt/bKoY6iS+xX0
s09LDKqRlgGYhpUTtQaTrEltVVw80PM8xRajYs578p1sNHjE1KuBbhIRQDSWPxn0QgX0HXptmwKU
xFQ316PAq2Sk9Gwz8us4SVMoR6n9YAv2J2sSWAQ4/nO49cxNEeK5B8d53UiQG5GHHyFD2l3l+jf6
0F8N1N17RabiyfIK8hrjzE7u6pImgDGJxEbpXPiQRbQrL0sNRjf6OwctDMjaTWc4T12s7XPO7Dgk
FXRs2tAWwaSFezeU5c4j9iNV4XbVThZyzA54Evbu2JmbxuKLt0vn0OrDs7HQVqltBvOe95mAkutK
Ry+eqOnKzvXbhR86GCUZi/H/sncmy21j27b9lRu3jwwUG1XjdggSrESRomp1ELIko65rfP0bcB77
WLLTDsfrZtuWIJR77bXmHHMxCYWRs/Ss1sqbJA3bXEwXGo1HBoyMAHNr2iGMtlw9AsZj6reUaCx+
w6eO7nnbWM1eoBolMvLke6xeqA6MBXvhR/yxjwQy2suqVy5skeF7Fccy2IyMwxyYSLQ0yBYzA+nG
GupbEXerwcfGoAf+SXQzyzGEkJF2GGfyeKubxINOnXJXSMGNZaW3WP3hn/TuzCpXzWFX2tJuGGRg
o5FBHoK9TgwqTMuEfZkrRLO2ojmLPtpxfns9kp+gLSO81RIwlDnWHVUrIHCKId4MUqo+grUzH2p6
4Gyqx9Gj7+DF5wEUH621RFkJ4lmZDjbBspRmw0GCMCGg1UyBSTpTz2tx0RXQ4rBR42FKIJXQE6OB
xhvGhIhxiD0juUvP+jQZCH0D3biTaubLXW2Ak6fzTVIJ5CZhY4QO2PN0Y5vs4cABsFL1cyOjStFK
ppR+VwCAUSKyVsbrtIhRRvSwUjpCnl2iKtmk4D6i1Va29BDMgTLHwvty8IqAiz1BWo6N/JPwI0I9
yjHglSP3Vug3sl/EXMcRGOzoX0RMTEnV9q6Q/35qB5u+H+PqiH66J8nXM2hW04qnuo1XjJA2XdR8
Nqv+mOhTREkJoETrk0e8qi7+lCdQN+y+GBALhsxstSIqRNAqyCbGi9rDTw6dCpPJKirV19RoBpjv
+jLKusdO87ByNJizwvapboRbVNzmuHdVz7xXsvqOMM17XcnThT1E10MyXmR2v2lKhRe8j+79YCRU
kFd0GA6dl6791IOymhjnppmOem08DoF+mUdknIvuvp8wqfdInU2ck50AizPIKDWFvcqM+Ik6nIzA
yKAfpesgcKllGyvc+vVAdaVlJFrrxrUycdfqBNqpn5k3ZRfuGs1AFhDKj6wEEPORykhhdsJU02zy
yL/XKeMWmkyedKqt+Nwsoaxjf+Ls08C8wHe3IYcd+I3+aFONeUQ8F1Z8BPW2iSnXa3g1wMDiZ8mS
lnofbsjXxhDXes9yE++41suQjd+CjHVaNuNVTRmL5RmGrixtKt148jCgMYJZiKa7Bu+xtCx9chkl
wfgIg5Mshs+e3KMVwckmiwj67xQebD1ZlyQrp1kzLeMs33Q+ET2Wnc62HuaGqsrsJnwyvHwvV2zA
VDVv3CxFuJAL0Z9kFSiAhaeOvXH1kMkBqcOydcRBnS/6rCz3tWL6cw8mdXXDeAnBEFHN+tJDXxg8
L6QiMYkqvIUmwuR1aEKThhf5hst+VA+EzXqff12E0Nj/bnD6RUoriEz/0vm3SdP4INlUYl0hwsmT
LqMIT89dbH8S+vr/7xAf2vojT7ERtxxCLumSkqBQHIfo9OtjzBK495WUzWkYsk5tqBm69uE0VLUd
096mr0CTj4/jcUKCMtxI0vLXh2GW/cNhGDeqYtaeIjj/oKf20Z9oZtz5xxZ7XAn3v8YHJJW3rTjN
PlCjxgql/7uV+A+FhZv0z1sJ5xmN81v1XP+4iZjBkF83ETNLTZndBtiLMKXPg/9vwgTyZmyd5wFk
O+J9A83Af4UJOpxcWzYguWtIK/mnr5sI8y/E14gZcLnjMhey8Sd2dW3e33z3xMzbCIguPJgGhGfV
RqDAv38308p8C5FbZ+VHWU78DUSUNd0Zoly0ft+a3ej0rVpfEAmQrxmhgPMZ2lMWCeR7WfqpEmq+
rKV6A65IX9laNTp+b2CiEUHpIBycFpFERzlorBn9bUw4fob0VPr2fYDLzekQHjhUDnuykC8qXWys
3EYOKAVritN7z/Jzei/WYapGaIM0v/i4Njs/ZfgQC303WeGs3zcPvAi3vs6AuQktLGJ0GLMqBOJW
Pau0W4mc9e+6lK5JHwY+Ydxz36abDkZm3g8e1SlDqwc7ye+NodvbsXLRm8mNpKeHBpaKQzzvbVZ5
CKEUYta9fm9O4pzhDsQD+qiS7eSXvgsvzgSsWVwUZv5AOt6lFqTRItAJghhgOfFQPDfsNBbZQIaG
ZDarEFP4gmAFUjoqurKjV44ry8rAxXfduPAilN1AXoh91zZ5gJdr6NvLPoEY5U+9skbV4EZGCdcM
iDgZYJkjqdNJ84wX9l03cTu6vYUITPOz0yAMdwzSbahiOqWIOhmteRuUnr8qxPhghDAuw14vlsxW
YyfJwtzVwrEGsWMix52uKpqS2BWT3aAkb8GUEvnbqLcG/SAiipmUgPI4Rp2pXiaeuRks/7q8xCdl
AJOTe2tvjOhaoEC7odmBrCyJ422maNVoTbeuWushMBjdt2WmLpI8XAMoZbiU5i+xaeTLqGHQAB/B
TSzCdul4js24CdlmQuqMPlWV9mbq6htqYX/jl+JyDioeutJfjHKXrqIxEXeaHpPJPlooarwQnREd
HN3YJrpy0NvArSwfEhnB8KtxGFRH9Y1xbX0BWmZ626z6TroKi/6VBnBfOSDdI0cG6zaVgq49oDch
lapTimJjGzNOTAURn1lEkMHk3qgzLS5nEEUdiPkVt2KdruQ5yJRHd3Yo3+dapznBzJ1DllpiTfYH
Avxa+kTE8iIzhFRHAxsxip6cbXyDhuppCw2sXWYbF15XK3TzIN4lfsR7QTt3ZUUF9r+ZjIf0SHal
mZYnk328HwHoeYD0NB+iXgNaj9w2eTEQRL+l00+MXdMzOJwApAncZhhkjqQSFoto5vVpQXHyAPgF
qSwvi5npZ0RcwMx4aoD91flVKAQudjiA7ArYxRn55QBsYtHBCrTV/JUoQWB1UARTkRYrM67jpTRI
8bKYYYO9XlKKluyRgklaw4KLpifVh05YXUTRlj0+ToOSzpjHY9Cl3vM4Yw3VsTx4M+gwg3g44LjL
MA+how3uJD9+wx+pMjHJebaxNdc2NNsZoGhraKlgM9yQ/fLZnimL7LXRzc7gxTzzV2KYyoVUTA3b
7jK7kNRBPyggG6UwLS+BX0g88/AcTXvylsPMeGw9L3f8in5k0HeHrooteIT0IBM7vA4qnmZd+MoW
g2KA5Ic7Tmy8iit4uiKN0SDqFrhNnXYTY17prKG7QX3MixVMpYdnE0YleaueCxchWuYlQ9eA+zUT
LeOR39Vq5VU621iBXsqefOPNTDVF7XYeY+2V9iVtqf6SvFQMSvUQ27B5Vkw1jMip2xnaQR6F03QY
RMEFetmyjMIasZIfiL99Xf96OeY22z/XBIe37DV/CbOfNBbnH/xWE6h/WfO6bqkCdgJ9vO9qAgFf
FfkiZeKXBZkC7qvOhUJCJhYGfL5BEKmYV/KvNQHs1dmcR02g/Bm+hs7eu3oALpysz+UFXysQiqat
fChUTXbUVqr60lEh/4HxkuJASH3D8Y3MSk+YhGoysJnIrUY/TWhTFdXZrlLpSjVnHBn99Mw8+z6y
qoWtjERD1UrFUo4R/4WxMbPVgA0TbBGxhs3CQE8l/M2v2XoQdSXWWEwq4lR6a83GYlh1hWS7+Dge
6MrJL36ZpE6pDoWbB2ay7PHV8M52IFxy/q9mloKRhFo9YQOBH+Un1nIKOn3XZ+YuipDj9Xz19ICX
sW6ldau2n1I0JwgWoHgm9rwKqbQGpPEw+jlYMFNfBbboLq2M1kYKnXNly5a2rkbIWWQlYWyJB4JV
cSRro02Wp69OC9WrcJBr/VJthvoU1cwzMKckj52lj9eKch9ibSDwM74kmjIgocq+IuuRCE5VORA6
ih6xD499WLzUITFsFtoH0SRwKDu9X5nWAD3B7MNdZkr6QtfCgXgSupe1XrLjpS3SL6xBhsJYsORx
W6QjK+640BF5RtgnGNiR/SJg0cVdPlxNVmSie0AWPXQyA/Mg2NgxXQ4aC/xQPE2hy94k40unZQlS
TbobaJYY4ZC6ldm44YW1rC0Tl3eEdsTE8lx416yTxRryaEEUrc0YJau6bp3WebjzDMk6hKJHPt3Y
3iE2+OHsoLBPvlLa4DEJ2NAHmfHsQwBf9DU9XEXYj7EC89Zris9MxlIHet5F4sF3sSIQBXI8O9HS
zwGBYyXU7iPNrdFJTUETtLJIEEUZNH9Pt1VXmjtVLxSnw4CO9pzblKZrQZN5bVeWowx6C6H7i3oL
T0LPH9B80XVVXa+KQzePXthTOUquJdpJ12usPRX0bvLn4JA7ak1AARm9zQXmErrQPGhHFhnDrUq9
3BuCnB0pz6kHZsWFNbVrAjCeks5cNvKgOChI6h01sUY8rK+4uvCsyxhpmJTar0DbLowovcrb9taT
tENdmLioVKm4HDFJbNGn0yLNp82sRVqkxL3cyJHnUUe+NXTawsRkImBejEFur8yIknoYVwasIs75
aI3ZhU5+KsvZXlfCizSwfCdsde+QWUW9xCKiuW3gXxPP5G/LINmSN7aJS26SFZi7op8V+thLFmps
PfttzxtohMehy/E4ZDb9uaZLHcsuHcVItnajr6yqek4ri0gkEmtz0D3ofdsmdasJIlNcOjJmBtdX
5XNR98ugiLYmoRx2T3KqghEhaHTEGUNyayXyURXtrdHJuGlwdBlHj40Xi9/0uSiVsz61WxO6BPTI
FS0sjfgLWo5S7JB2+RwY2hq70qomFHoR6dapjrOzlauvdsw7nCYz53A8CyQ9y7QsDmTWk8wgnIJ7
nEbIGQRzcj8lpXeC3YPV4WUaxxuCiGkmx9EWm9QJ2tIxJW6WSNdZDLTBlkVhyeEZ9V2l2XA5UtGo
07jNvBnuCzqR0mdq4w3wFwepKWnFgyvpyBgSNXwxLJwKpD5Kre3EqIbGIofwI0NglfO10gAviFr/
pAKmDDt/M8jWMs2lC/YP7piEz2WLeC0e4B+kn2kWOF6lLIUtk82bvFXJW+6156FBNWABkIVJFfbZ
g16ayxoJrSI4RsNM31OPhrCu68ZwBVpr3R/OYrBvkmhSl3YCMSvv5XUqKscGb7iY3RX0il36UJ/H
MrzkC+eOzJXrANyHBWiReMKtpoybYaoeZKXZTbp1bRjFA5H1Zx/6S5u+ZmPxVspygJKFcYoWuqFR
uEAHl7EvVgECAV8LrqAuH/JOO6te+lmBWqZWDEqgUUIp2Uh2t7FqyZUBdUeQzRpdua34S02PDBcD
vIcnke8hty6v4mVtW66i1TvNY7AyQIIG3eQMWU3dRY9SCPWlb/MHfpVwB5TSYy3w6jCigOLSOyTR
PNdZ7WSWtEc9s51gc+Yj7CMKQjeQWCToJpeOjRyGcEJzrTbdfdpmTw1l3liYWzB1xG6DXMybapMR
vSwPuAcn3V6T8PLQV/J9XkVnEkvXnhjc0CN9nCQoHwuW2eg8neYaM8FVlif7gozPTmqvk9DcWIN3
JCNzmwloK55yCHLo/1kbumkyngpPpurvF0VvXUWVfaEpw2NhMCYiFN1RbThklXFVV/Uxq/VzO/jy
wlLq63aWNqElWFQTYQp6cpHoPlCaEsB64h+q+UM15Q9j3OzVSl8XJFUBC3ciQo7rfm6EZHuvyG6r
Ytwpar6X0GocJQ9NuT+GyXVdi8GZ1GYHI2ExsRfp8DRKUoRCxLiNmtTcqlDPZu3kI9LchTqnZFLg
Y6d6NVL8W035QADBlpbmke8tDJoqXit9vdcnegMKiEpnkpXHQK8L19bimxSO66Ic8AJoyimKiZmN
bRATOb4CYus3XmwgA5GARdHl7epqxuUQkzCqIEuilR6wn/YNWHDDDur0ayFh+YPP1lT6ghAbVBke
4elsh1dty7gmkNiXUyHETeukWIyWMCQ3nWS9dh27k1BeE4LkhgxBs7zg+1MTeucPkzuk2R7x1b5q
9Jtcx4pWIZjMECo0xGJDlpN2mSp41hPe0wmPa75NpOYwSf0jDYiX1qpWfoSS3ktotwswBym9iT/j
AHypEIkaJIEY7zANrA9MiAZjKiPLTDpCdgmjGI74WWLa8F3dfPpx9vyBoPCfgxgzbkBQ2qofLMWh
lMqGLhTpOFifqn7dt49D/tnXGBj+bsr9s4JXY3z89UgfWqa5hwxq8jiSal0GYjYXKqtp2ubGXdQ+
hXB7f31iH/rZf58YbxMBLUJRcEa877epFrwGyL7+qZOemnZf+i9Z8vLrQ/zsjKiWKZY5jPaDHRso
1iDbZMadUBxF/bolyjQB95j66xAYq9pc/vpwPzkj5NxsWlAbCFJnPuwYusyo1VFuwlOY+fCiSihF
jOR/c07v1Q5ftiXvDvKhR197UqMbHgcBQrNo6BLYwW9a5787jfnfv2uEds3UwKfnCFVxMGZ4MvpN
M/zNQT705+e7/+40Ptz9IibUvkvr8DRIGh1Cxw5PYp5qmY86lMX6qKK4+/O7A4+C0A7dsHVEJ+9P
Kw6tNETkF57M8ooxDuDhrfmHM5ovZwWoxxAGkxoVVcr7Y6CHlAx4x9EJfDPpn4hCcqdPbn99Ij+7
dHBdbaAXcCjw7L0/SN4HphmGDGaq4jEDj8lOkSyGhe1dR+1edCWGtqtfH3F+pr6b2fx9Wt8d8cPN
wnxtV4UyRid5kBZdfU8j/TcfA2X+o/97CJLcidQzMSeqNp0A3tcPH586F7AABiU9RRfVttmyeB5y
R1/pV8FZd7JV6FqO5P76rN4f8u836fvr+OGQxOqlA8Ky6NQZBAOQ1KjafBTyza+P8vNrx8gLxwhP
nv7hbhkT8bVNigjOK21HVfYWYs1fH2G++v+9dH+fh4DigsSKsYX58cEuajVUxppsSobeC/q8VJtP
oSCWOop+cy4/u2LfH+nDB44dMUJt04hOiv4WWFe6d11Ov/m8/fwQjIBmFBXIqw+PWqjEsOAmPz5l
2VEHeTYg2FFb4zeL6s9eIR62b0f5cOtBkqGVQHN0CuOXRNp4mrSaqaRx68TNSYqJYPrNPfrhtFQC
KM0ZTcVSpGAYeP/OEntnFqmZJyda/lgKAGyU0/nXj8EPD9qHQ9BL+/6znXU+FzQok1OPdpikFmJT
9d9ctp8fAuYR81SMXx+pRNEwoCNip3Wqkxdp2kJO/c0BfniUOQcoWzrvCY03YpfenwOfTpP09Ck9
Ueelre4gDYPPt8jsty/X6t+uLEPQX3Rll2/J/1yiO+NqvbGAN+P29f/+9z8jXn7wW1dW+4uPMTPX
WbzJzpbH4NukVgDMYWWj6/qfnL5vXVn4O/hZdAw7QKVk+rLfurICY6JFTJUNsEfTKY3+KDn1/as0
rxQKo2IwbKwSGm/Sh+e88bBNJFOmnjKgCnIcXpg+rotuXH13ZX5Sd6uW+vG7On+DCOpiLM1qjnb7
/cMoEaQAYyTu6XURC9D4siVWdFYQQGNeyFUsZVJvQk5o8qM9thdlXNyaatU6BelEDsnYDWnESrzv
Kt1GAcaSqY1s4ZCtzxmD1UNfF4WD9o32xwzHCerkuuCAjlokJ0BwvMMmUkCrVCHASh1mcrgugFes
fZkOjg0WyMmUelpS6gCUId/eMzpXFXqzbEn5W9bxMFuq7iXLhAXa2jShtQewrOznBv2aUdBZSgec
lDAuQxnO5NzKMnB8VHZ32Xupj3lZIfTbShayjylBnZMJ2q650qXJ7UV7b1vVG0nST346oidibhOj
F18mY3jSK28P7DR0SXvcGLZXreug4g5V1W1u+JvQEnhggmAPhv4T9PXY7VK5WBoduqskHwpkRz6E
F0ZSrtJMT2heZtt4dBQWjvAxQYBaaMsSFVRr0tKo/UM+pO0iV8azWbZrMAYbZqDSomHYyB+qAbRt
MkBDqn4tjUXipE1pOab9ZDfMIrVh2ZZILetWoLoHEWKR+8L9g0dstp+tkSY1m6+D1LW0JTIoRiW7
IMUcL9UeTxZ9kEUfKKEbK8mpTILIxQm0nlJxwLCBXU8Ra7vj2gY92dKSgTmmKO0n2AcbeE/nPJvG
pTbVdwCOkZrWtAu1hkZA324VPe6WlSa/yAmtb78f75Iw1NeDNh3VgWipOog6uhDVq5KoryrSyzmP
fZMn9tak6Hbivl+De7pKY2s5mLlxYWp0Rowke5mi4iEw6wDNZn5DOEi0FKWJeLOFfIzlSNU8F5qL
Xa14xLDcCDy6yhCUzxm9hsqdLAn+tG4MGKLkAfw2rtDKrzeiBy0qm72r0LZfKCXyziTRKalGRiYe
E0ChvfayvQ11xe0mBsI05IruLqZ1jzitVxgr6LNvrEUQCwtd3WpMNBVYTc087rbKZyJuzkosvSEB
x0BDbEXO0whSqAMEUTfOYGOU6GNlK6U6cCSsbFZFYgxQS35vTE+o7kJwOX7/aETYDwe/OPih7MEF
HOBEMnEU0EwjIiybetP3zcPkMcQc7Ig+ucwuK6dLzyurZfGJoI19IknbKcHIFPhBsJqGEWoXhFmj
H1OkjyjThlY54y5eD3hCY8JvnIG894z+Xl+tCMDbBqLax420gfr/PCADnXS8vWaCi2qkIS6uu74G
ddTuitxfJPNcAb+J6jJ6ZgoDxH/SVr0mNp2qMRAKMJZNRbfWzKhxZYWOvN+Jp0woeNTyfulJ7BFF
X6xbJTuOef+IHhzo0ijumka2DoUUifJm5jL4FnrSTa6maNp+8xmdK5t31anKcoGRne+QSgwTcUnv
ypK6xgMIKHc89aNjLsTa2w3X+WEbwSh/zu6LFdpxB3b3noCWdomgffvr4/9YUXB4G7cik0KVsuJD
4VV5rd5JRjudOvO58La2jIVmeJJQaf75cQiUoC5ijykYQL4/TZr7zA+GbjoxRQiAdyTJm+1v+7b+
zXHer358g7icXE/WQAUnAq2N98cp0VrorRLIJ0PfVwZYTabv4v7X5/KlGv14z74/mQ8HaQNZrlWS
U0+dW9+RBbHqNvKrtZxjCw/EcfuLMxL3Reqqm9tLa5ksLrtD6N7VK291Fe36xQaqyEWz5D8umWYs
89Xdr/8+db6YH/8+3B7sEHSavfrHMjFpp0nJRlk5YX679K7klXxQ7v2dioTDaZfjYveorAfnsnT7
jY5zbg9y4Iq2pEva7d91/b+F5HzN/3m8f/nWPb8+/1hFzj/1rYqcx/S0R1HTocGERPRdFan8hdyJ
SpG8X0sAdPw229cIlqZKtExIm/jt+fFvVST/RNOIhCKQJOgC/my8r2nvnyHkfpSpoI5s+LeoEfkr
3r9IHtYzTffC8YgGWhvJ7oIF2GP9t2+HSe0x26Eut9XsgtD4szWKTxQPEsZqjAd9AAthDGsZBZRN
NqZ9hFaZA8Y3PtlBfEha+26aLbZ99pkGuFtKOPpDGltJgQrHqg0Aav0EYCK9oN9Op9/rbAbNYMnl
koEP3F7SW+I7wzcmVwNpTMRb6aiEoFFz6g9xYt754/RJwlL9t9+/bG/jsDlVtrgMAYSv2YBep/Fw
m+cDL0fX7PK+I51UqveKBd9+yDo3HXLOeSIUFGKa1W5bK3CxSXiMAzM3C6T7toDl3jBdV+1LeMHu
JAKYuiYgPS+r6QrD14vC0i0ttAUaue6KUF5zOzySy2os/LAcryfE0mHnaY5S1IgXEffpkRY6hDKT
S51J0cqW9Md0itWV0XvmaiDyfmfmob0se4XESOh4lC6I/Ps5lAYxpD1i++ztaaEp7bXBDBCYvH5H
RGgZO35YCYjqrd8AgdJzqorBINLmVul7mNxoDspgqZeNPCfY0tokNsePgJoFfiKWXj6RW4AFm2CG
VVwD/pgtw31nrAh+ho/o++tBFp1jTlQKHlM0YeKAZbz+VkT6IZFrG53X9ARpJ0BUzIMTeO1tk2VP
IfNFT0dpkACEEDVJrO1+qMwIG3vGSov3KogLMr/N7mDLOcRnUlAgId2PwtilBa7NVB+fSyBKtyJl
LpiKswI6ry/6basO6yGKvE2oI4eTQm9DtxElVqntxxZRmC0xVhulcYBZZN1JHfNmo5Tc3lZRqQBl
IfkTf3W/nWwssnKOFkv42HI7GI5dWazDEB6obE6nTPVcrWVGI9GDYdJxNxHhkOjq51zjmnlR+SBb
ZCZ58S3jvkc/rU5DEIfO0OAIyEjprLCHQp/akLxiOgnRI9nQ7NKWSE01mh46BtrEMTw3Y7hCwri3
oxAIXfFohH2z9HBsOLFMSkJSJTetqG4DqCm4fJHqyWa8R3GyKiYF64b5WNpls6ha41AV5nkKxFrW
vHsFQcEaKBMuu/ZJt/yzmuSuSRXEkOU4FDIub2NSLyILLWlpZBdT3F2qGpaV7DXGFsVOJ8KI563z
sJcXdiJmTsB4Cg19aSE3W9g9xqPGrB+mth4cDCjPYDsz9JExhqwaxy/OowUj6BtjdkANOSFvWmXe
ZJmP2Vh+nKzgQEbolaZKa0WOsUWU9qtHcmNq44XCwL0lgIMH0JtnzMPKi9Q3PSLxMeyUGx7jB7Nh
N6Z4OXs3BpW2hjwTkxYS41PukRWS1opwPF81l4GHVywxAnKTGoI49HhITmNsn+OY7woZBuXW6wJ5
lY5K72aG/Wnwmuc4KU8eXjwHzaO3xI3oOSmIzlUV6fvCqsVp0qy1NOYBisqujK6LTHnxRg1fXTwB
lM0vtMn/pBAv0ZK9B87UllZNrALc8SFmFEHNWJ7sDztu3nLwlVAJg3hZxcUs3SjtRdHYXAHmnHyL
8NN7orqYFHPfqMoubJVtEDTnig0pG1Zta0zikuJ6n6ecZRiXy6JBJKhPkljS3FtGQQrXxBTLLyvd
v0v+XLP+85K/Sv5nmVdEpv+46s8/+HXVxyrM4k0oOa7gedGnafKtd6T8BZmKJZchJr7C2UP7VeXP
0k4xQLNJFXPn6L2ij5pX0NwmBBuBOA2uP7EKUyV8XzrOKn9+D5sRAEiUz/ze98t+6XuDLikdkenA
Z/o5M7kjPFmi24Vcpa5O0jQnK7M/ftBF0ThYjJg4mxJZUimE5Frqst3kY7MD0FCxuxX3yHnNZUVC
plPQo2elZHCfhlNI6jbQ5Ea0+ar07M4pQeEi6Z2u2zkdWhusABSheWsTHM1GMnONiTBwk1Bp9gD+
ptLMLcK/e6/H4d9FxXWVB1hypNDeKDKTUsHeV5P3kHYvc8Q9cwKpspCrSHFHnc9iQch1QjbROKde
58RfowR/9Bp11xhFvQ/69lom3sf1S4NBS2/IC2PQPxlgDjfNnKxdDfro2vnwZuTGm2nZ0RIAb7us
S9aqQXsAf5/tyOPCkEpot9oFV8Gc4s2f+WJn6THWYbVqncmUnkyGuyEaiXeXlXXMFwvUivEMT9X1
c7ijZAih9EjfDAyNA7xEJU+KtZCCVyYZ596I/Q3MQhKKYC+s4n6iYAklFmZpOKI8wUjqq3ehZx1w
5qGhVpUcgDBsFKKkoCBndPG7fovn7SlVEIaVWlOvMf4dp0n0e0se76wk6q3TUAPeK8hrgWXALti+
CKTi89QGOsHOmLnrqBXk2sKkhSM2rNMQPUUZQs0vsCteabF6CzmVhO2RAFt1NrICjHicZFQ4+ADt
9qY1Ev+S9NdiN8lpZcM/jjeFnq/6SD4raMzpK1ho5jEbLGI5vJtNCECAEeJpEsJnzUdIUxgFntQc
kack5ScfbRuVhr9WDfnGlGAe9RG59C290MTAW5dxiYFRetFwj//z1dTSC09CnMBay2SwatKFKbXP
1BRIzYX2SI7UEx01ChHfXI+2wK8bRBtVxsJg5vVyaFF/qaTOlbhvCXRaspYvEUJeGJ55UFqJBiWc
pnTKPstzXlXXWgbyohGebuzri06KXhRDetBVuL7BcE6C5mLspBucLU8NO2T6gizEfMGhgFyybN8O
WbQf+5S75al3fgrPKKi8G29gAYi4QoXqC1craFXFln2J/uPRM/tbLEUE2PkE4QwSXTQzlD+hoT33
VXTpFxX2TOyTltkde0WctZFzSb3wqsKqDT3JEZa184seaVK/LyQdNU5zN3co/UyHFa4fwTBttIos
PZlAIurDB0SS1ppAyhQTOwBcPnMUtKUEqGjMh4U3dBA8w+qhqtMdnKlDrKnbQJ7u2gz4dkd+pVNq
/baomHLzwIIhl5IzuLVPhZYC9o2TaoEfF5FUpK2g71qoPvN6BSc1dXOb1EiBCSYi73ILBscZahLf
VRzm8xeXr5SSr2LRnfKWpqNKveu2qMl8max7hfhdmUvAN+lKG41D1NovuoH9sTCNW9UQB8ztkaO1
sKU79BLLfP7EVcG07Hz5WrUz0nQCZqNFnS5qwPC2oiebFO+GkjR4cdLGoKod7tvJv1Zk8clM4Qf7
qnWIu8Bb+74kubTsz4oJ3r30UT6OqvlJJcxqpWQJklOjWI2ahLg4VMWcNezG8IurZmKgXVLAh5Vy
k4VdtmgJnH4pAunSyLtuldd8I8Lwvg+6Y0UUEm73zxNdr1WDPQnRmQyovUTtGta6RFZ1PaX3KQR8
/zCpPsFsRjfD+fS9blU39hzhXs1h7tOUP+VTaGML6rRFQ+I7uzNwSl1N3KhUOlNboVNILgNS4tk+
Pg2kxitzfLyWVbtkUlcI9Ahma/Qr0uIPrS2htpMJn49IobeIe5Il9NfVHFCv99SRWFNuNLLrQw8G
Lln2UUe5GLM95q+ZHuw5774c71Kd7Lc+OvE8cBGG9jaNlctJp9ZpZsR8J2ekJVHIDoABM228VIx6
Jw/RXsjDbQaL0RP6yfDrZYEFHtQrb7UICMpMDDqxOJod26DAD6MmcjJZbRZ8Y5eIrzdZmW2qqJkW
Zlrz2TEIhzI0hNSKhwNG8ZK1gUB1mix5K8X9NouMAGwfLiCU3uoWeHiIODIiGEsrslUsV7CqQMug
7WIyoCK/+bcq+4ISVZmj/XNVRkzwTwqy+We+FWR/2ySZqapfx3JfCzJqNQOGqIxi0Pjiu/xvQYaP
Ani0jH+WOawmz92RrxYL8y+sGuBWVDQus13zjwoyRmk/FGS6xSxPwaRrmIhz5n//Tm1UT6gKWoiJ
l75GwmJJt6ZAUAsBX9AF8LsJpLPXqt1CUo0gWVoN8GA8Amndrtow+qKJlpODNaNHUcD6HMP/f+yd
SXPcRrpFfxEUmBN4yyrUXJwpThsERZGY5yGR+PXvgG65JbfdHd47ojcdMlViVSHzG+69Z93pCjxX
qA12ilK0XxIKrZmI/Wkle7TCj3IoNAgxekTyEplPml8fOrulbPJHths3Q8pBQCgEsfLCaZkoTuUj
se3JmsJ135cEyHfd2DM04JhtE+6GIdK6bTjo9ymhYG3p5psKMCxoidtSJSxLiNtY4Xk61VVxKpvw
DATtQXVkHzDiCFdkoe2G+pAXEYLYiNQJEk2SdSYIBiGBEG67x0BjCMG+jdP8WAj/muhCcAMRvf9A
ehn5T6B1fFEHsvCOLYJMc+qnIBnGpx5hPhd7fioSGINFpa67qsQV6UJPcwefFm9sehaLM4nLPQJY
XZXzRjnoOD3d3OjOoIJ0II1VeuN3zZ7YfRDqNyx1bREa36eprtaD0xGV3zCLQOLM+oCWmiR/ct8f
BkcV67SRZ3IZBu7EEaBpZd0RZ7NtxGBuw4zGcglbDNuwPiD/IeTAri5Ts7ptGkn3SaQaFNGY7MPV
6IH2IdeMEIpvNpGU3E2kt1qYVvIsYBkDdLiOjrjMNm1NBbKwulZYT9IVi6CMtaHQtprVXxSM77bc
selZV/OO0JnHAQsrAjc/wXoHNkpzo+tJcFTZfr82mh5SI07LRm8fowq/xJw5J6WMux6fojvlI/gM
g1lHeku6zTlxrCATybBy3TnZhA5hBjVxt6QmEI2tT/617lRkXjbWe5Ub3d6oSal1yurSMcp+FxNJ
U1rZVxRED4uvt6qbKy1mQSz8jNo2ZxtFubpN8+JBYq9U+GcH3XrWIV4HInV2o8zvpswhX2hx7i9i
/NhDVae6dOSLbsanukb4bvmzvo+lfCzFkqtu9hh/5YNhd/d2x9SD8LBdGeNk7RxCRbmYnf7bJJCA
dyWK5EFkoFyXQGlMtUz9hjuYkYheU4MzXkXET9jRvumb28Gdn7ESvDQOyZJTgnGR2U6zSUd2k7Y+
fB0ThPZGZidB5cakoVRHXfiv5YwRQI+wk5qVccc2CeqvfV93+o5IxGsJ1xItkHW3sOUCL9ax9U7a
JX69CxjO2trKku2U5BiLBCA/Q70W0TztMxXth7G1V1rs+etSy+DQFAyCqMef05JIdja87Jonluo+
DtnAN1Aj63N7Jhp7WwBG3IZmDugPqQS9F5TeTl0Zho1xgBjuqm0uayG+IpKPj20BocU1pneKwlso
42LlstRHeT2pVTerDzliWsRfXgI2Nu01UjFv0QkYu1zICpEyM80w46ujw+LKDJLvqjrB9akqZ20z
Qsui6dWN+3LTu2W5mVz/YnCaC0Oz3zPsHUE15aRc4oJaOz2J55r+0Ur7FFXJXs3VcynIjUIZdBBW
BiOdiF6duenWmzT2+oOLl8G0D1FPdtuccpQYZnpBNNBREdmM+fKErAOVfHgq8vQQ981dGEM+mYC5
lbI9kzJ/Rd7Vfe1RH1pKNStiNNyTz7nI2YhYHm4MlvVB7tKseiwrFshC+jyzHRnKqCA2MiKUJBnl
g99RSg4VCf9jifWmTLLnyeotHsdpm4GOgWzLkN2fTDiXKn405btsWbkKJ002pbJPsVs8T4p31PCx
ABBFtAnH6qFNAWlbnfaAMuI9jhhpq0ygsLdY6HfVm2/aL3Orf4wGX4a6dO9r2LgrCV4hcHL6RQNy
NDHr4pr4WPiT9NhaJDWWe+MldppbflXcd/EVO3/UYzbKgmgEHzTn4kwYtxUQMHoYKmaiQ+hNB1sS
CFaHbOB9wrzy5L2QmBBCWzI/R7O177LxK+ktM6jYacbn047+v7aH/8yudOY4f10lbeGy/FmdtPzU
73WSR3o64yGESsDdPiueH3USyRUkzFELoR7mv3BYYf8YXIkv/H9BIfSpa/qcaf2ok5wvHAu+IRxh
YrtYVFR/Y3AllqCLn3aeDK4ouNhVQWwEBgqt7A979KwAvDRR/VyGOOWivhnLi16aiuDMYqzrigdm
mInggmwP+j2aHqDDAiuu8GNAE0tjHqburogbFcQdXGbZDzuIAwECBSQbhJmCCcDTWvnEh+NepJ3B
RMLOqAHb7lwCV+sRkGiEUhW3oMSooCoju+lhed2Bedr7fIVLES4+LSC5eqLh3Ss94n/GZoMlNnpW
TGavwzBO3Os4V+LaKT1UKLZc7mmXMIsqcBh/l/eu0EAq0s3JTTcZYX/VaF2cPAyMK8ZNnsnHzPRj
wGlZtU9icuAYVLQXMrWPcnBunYjQolCUD/q87AygAVVx/WYu6RhujMm1nxMSnlO6PutbXKaYRjT7
0h1MAi+mhyEmEc1ibKaNWqAVNErREgph17UReECFuQOFjRmTkye0PAQ0GTZ95y7z5BU+T2KjtOQ7
Xs/7YrDfCShKNl3Bm+J4/Q2nLhMCQhn2bPvIWMVd9UKULNMEUpL0GfFKs2iQity7b3LD3FYlC4HS
6jUyb809Y3Py/cY2KGRysGJSjBzimFZlK8gZY3WwMWE50l6po1WbN6E5FOvZionMsM19laHAAYot
1z7R4Qc1LvF9g/5dr/zAGzpwn6ETErjQ7YrSf43i6sTg/dRZfktgrUZi+OzfiRA4ks/Ufgq1744/
b3N9OtQhCdIta024cEHdzu6eCCYidsL6o6+QrLDDoWTVijcZ+xNkDTx1Prx60x/F3l0GpHy9bmzq
q1XvscRwUo3pWnid++jLuLWI2TNIqSbufmDusCKi1CHSauzWfN9IKquehtQE8hj1x55PsO+GLRu+
ZDc5GIFcvWE1WNqHYlRXU+M8Gl1/6ffJPd7fbJ3o3UMRxbfxss+s9YED3tUOtLbWaozbWyXCe13q
N3Mz8IiwjQpYjEQrP0lgJrfhNVX4XuWhdqD2eGsbjWxcu852yqGVnw2CyOksiiByOjAtuo0xSc1H
lhxXqarUtvIcbt+hxEY5YmZubHkms+R7TgxsMnh5AGz7wk1r6C26OKkKoJWOuZCWAPsoD0BgG+lr
q9dyq/z+ym/tp1GLsUvyzVqlqnDX8WB9FGqYV1ld3Q5zve6J7Jp5Z1ZiuU/s5WbpuWLM5a7Rllsn
XAZfHRdRrsyZEYJ4cpYrCnHXYVxurbw1DwzTrQAD/zlebjZ3ueP05baTTXqVcP25XIMF12GEI4vN
uGA9zlWZFP41ZOdm6y63KEtLJHvLzdpwxcrlrtW5dEMuX93K33Qu40ZSzCfL/Rxq5rvNhd0tN3dR
FA/FcpebXOpqud0TrvmK697RKsVG0FMx6zZhT+6NlXq1CFjLq7WKm2+s3wMW5nDWNVGzFiZqExfa
Zs6YQY/zt9YynxvPt/a+XqKU9MX1PIxgqXtcmnYL2M61mRTiWmS3FXYHXfR3cdlDvsJxhlO0Uivq
4ZSz1nqpXfuuL0hrlDEAemMIZdAOaOvSui7XZaJfjuSpbJC7vY+z8oPSYf6WmmMwhpXYZ1npr0fN
zlf+wPqrYK9F/SHf0BwWa6Oj49RD6Vwmk0NgdtdMaEHNOLDM5lZiNzoqjxQdY2Z1nZQTn1Oy7SNL
BYmTKvTfcX1RCHlQRfiC7XYKCo0trCkEnZbFt5WY0jdXlMyqF/q7U4bbyLbU3i3b5lDV9jYjcieI
wfduPY/xOOch/UHavLSesy1bDfYYC1IGmzexlrhrFu/+SrEvJLq4IB9VK6tlFBzeuKVZb0VjHJrI
OkM4IieoSL0d24QooJnBizsqdYyH4XtGWPA2rnvraNbWwjUnkCWbonIflyW7RfrbwJZK27LQrVYa
I9BVZFJXO/14sIpw6bS9GZPxeIpy/xj680lL5mJBjbd0m/NNW4QBsMs7TyOpdO6Yh8cD+UNMSa/r
Ib4vsSRzIRr5trZoAYdYa7Fv9m9uA3+qQCe9mzyUvcoAEOWZM1VbHl/3iXlNu6kHWZWMuD7nk9WH
5zCnF2zQTwEt2ljpwkJgk7NKRHvpO+mbR2QUFTBrG4HogghYJ8g151hZntqA8UGPN0MF0XV6syF7
rTLtmpD/O/DuFemhugt/HJlFa9fv+Sw+okIHIGDZHdM3m78ScmIgc3JSsQ6uxiG5DP2BOCOGBoFs
Wny2YXYiBFTfp1MaPWBqD0hAeXYZOa9MHl2RFx9t0T9jZVo5cX9Zf8pE++ItRAyyMXyGEX6RPwyw
VVZVggjUhAmBFVwPtDy5MIBEARPNTjmAq/WSMupoIweYYbxPXrcXQ3j2QlUgRFBHKI7IPTLgI075
WCh0GcukxlWMBFpyEPlAj01nnJy8+K7V3oecGLK77JnKBsdGl76jit52Q9XvOlFvOmLNsdVrD3qq
n+foVBD51g4Cn2/26g/pt7jj8B3pLtJWEDtNTpHT4/XvXIKzOzo7QWRoUrDPSFmQTTPf5yQ0WR6Y
9rulV0wTHHGXpBH/MQf4WEDBa3NjZeuE3JNvkuyo3F6owA5k328bKp2V1bs4uxF2DHVy5TbeKiSV
HJf1aaon8gVDGPbs9nZW0b/Z5IBF9NnrmqQdXRSkDZUPhsWF5xPq68S028qzLpHcfm2lZGjf6Shp
6ua6TvyzYr8RWKRgDRr2H2YBBnJpJkrVxPTeJI3YkMWKGSxTq6KIMFDz6JQzymdCyu6KseFX88px
E1N3EpibwPRilV/aLd1ifJQq/YgNJ9lG0rtSRrqr5l1H+2YSLKvKwJjOnpbdxzkoDc22izX+gF2a
LnIjemdkIt8sjwAPGX3z3ORsm9hwsTzHfFjNa1Ux1JtMmTpcxGN74vG5jxTLR6bcD0Yt0PAgU+na
jbe3onxvwmbFEx2EnlXflG5bqLVeJi7xSEw3tcd4rCod4EvZtUfE0JIgiUSO3rit8lFTN4pPp9Sd
RAvsEFltNJMfEnh+hjaKId6UkY7LZH43+xFrj4phkUhrkDq0/IldBYTLDgHd5BP0w3lTeljsRhUZ
m9xMv1pteSdtd9p2FnTMtH2k93dgTBj8prCEkJ8dYmG/1uV0PSU+4R4CaU+c9Ah+BE9IlpEq7EgS
CVFUTFwndNCZzsWGH9zl81s+O2rzwVcg0mIykw17ldd2QGbB5dgnV/4gzgtpb1ViwDZ8FXS+fTZm
RXVT1d+4WyDy5khpSu9rlxB80g/6+0xw+25OmWmo0dsDf7lGCxNT5M27iVZiRV0jAzcsv7ey2GMp
0tC1kJfRdO4ZWNGtSUxu2RMe5xSV3HPunn2Jflw5XHZO1zFw4YlOTV7QadGO2qQOdAZ69m52V3Bx
d7VJtesb2UvWECYRX2UkvaYOXfdkHZwWCqzvjZcaKDQWuf1V4aTfYQujJSUfXqrksor0S8dX27wc
L22CGVhoanMTtK0WHUe9esxkdOjj5BmezdeaYF2COgEQtbvJFXfIxdfUveRPmC9Jbez9TuNkLKLD
rMR8ADn1wj/wKzwknJvUgpuY+O4Tp8KLXVSkFsxjtKqa9ITMqQo6MEUw3eYLOSoi0FwDRICOoDu7
kbJ8zWqPWD/y+gtFDDEBDIkVPxaSTfE/a4/PtYdOf/vXDf0ufy/LPxGi8EM/+nnT+OI5pExCBLfJ
jvyFn2Z+8dGd8j+DrQhKlX/386hXdN0GbfIvJQp/9KOf9zEx4U6Fd8YY8DOk8m/084bL3/RrP287
1DYuf6dHoD7i+F/3HqTFC3MaPP/KLFoYs44x1/Anq6i8sbQyNklZKLrwhc1uewO/skQUOCbleh59
snD8c1v6GddF9i1jHUu6yGo0e9hdNsPCVW3lU7Ful/SLyWo2w+jf0KZ+ENWSrEXrcR2aOw3WT9QR
Bu00O7KWd17J/VJrey3JvzktiTEirc5RKm+yhULr9m1Av7dnf7PXaXcRs8k1JGONraHaYda6NKmA
EpYktABQbgdd7dXCvS014xvhzaupGZ1DS6B1bYvD3Mo3zsMLEGi5s8CY3WefFL9+IesijXhvmcSS
M8FV7aMRzJaU95kVMl6Jcm2OBjPm6jQuzF650HszS2s3eCvLAxgCflsYoUFXsSjpxgtvYQDLlLDn
duECm4wEYhvqtoUst13YwUYbkfQMTtgDK4ySh5zqhTRsVMNzQe440BGq/upqWpjEWhE626JjuwGX
/SATyMV+Qo6Tge0k0KXNRHghHBNsTdgXe401sVb4StRN4WSHjnjMVWym31WBAlNfmMltFSJBwaph
Req1NAeWGobx0Zva0QC4LHt1ThcCc7iwmMdPKrOEz4wBNwXySXc+AW+egTgXWimf+DxPvfMyF+4F
Nvo1MX/Af9Oj7oZ3cqFBtzJLuwB3RhOfNbMcuMaSDH1rnedVzDS+z3xC/iJHHPLOY53ijPEu8Ty8
OkXU+Bem0OKjyKpxZ3L2HXhfiLYCt1Pv4tDz71jlEM6TqwWL1lSMA0aHXLO6dew8yAlQ2RnIBVE3
la15Fnk+PHqV6+21OdOf/jkOP49DA9/KXx+H+6GAl/69/88Tcfm5309E68sywUSLj0AP4wQnzu8T
TvsLZ6HhMNuzbKyfrHv/NeHEu2kzdHSIdMPU8im7/3Ei2ovAf9nb/nsu+jdOxD8K82zwGp6/mKMh
Z6Eb/MN8sx+URHHkyOtBP0ZggNVt1e1+elOufzOI/ILx+PSG/moc0Ylesn0XRTE7Z+cPy2YD9UWa
Zl19bUkclB0brg7PVGyZpXVNjkLD81+5U3Yzf9Jn4jgWT5wQMGk83VFrtk6TCSO2Xnewa5p4Oiew
bFwLShQO/NWwUG5Ufh1Cvckr7aCg4GjQcHod+5iCjzMvnJyk24eK5PkYgg6UUCNgb3DUanmledm3
XBGgDnNnqOsD2PEnFGiU80l8FfXdxjNJrFhQPQbMHnqbXb1AfHJOrF2ygH001q+rHtZPs0B/Bug/
wts3Vrfm13uKXP2gL4Qgy6iPDcigvENoG7KZRi32Hi5UIa+oyfFbSEMNyKEa9FBIzl7glYtkRcKu
qoX+bUnwtxZikWGX96MRHUPT/NouTCMTuFG2UI5iJd86sEdq4R81aX1RLkQkvxEsVRZKUli1dxBS
UWrZVb+JQCkVEWLKvrNuoFRF3HHDk5ZakHvhL3F/E3Rn9h/pwmbyEvCKAlxTCbZJLPymeiE55QvT
ydUnzrOF8zSlA4kRtckuaySGzK7nRwMslMXHuaoARTkS2GVh5veyIPXI97JnbaFKmbI++OClL/Ne
GmuEekeU76zWDfIUDbBUUf9mpdXWB1aVFNJc21NDh5aXj+FMvkzYQPGogFy1HrSrfhS7GfxVnSDP
kgCxBmG/eR2ELC9NPryFmRXZ0LOa3r9HhflhJ4BBwGslDUNCA+BWbELeMqA/V6C4RrP7ZqSwuVqb
sTBm30OeZEwEAXgl3iLhtPDw2R10L1vTfbbKwzXSo69jBAFMAwUWW3G7zK7voqlvgkpEw7oMEZjZ
4NmJDWAvz+fne+mdCZ0Q0RYtkT8+ZjoVe6LcjzT1XxwjW3JecR1aU0ZAK1iFi7JAoR2lMJw4V75G
qrkrbac+xpkFikegPq9iyZd1ehlTohNr2RDQK3k/oKA+Z26IA5X7e0zLd9sgJ3Bs9a9ZlNOnEEE5
aUCLx4iVvdA+es171vDgrNwM7KcFgDSYwMLOGzG7lbnpLZUd6k/vorTbJtzXvBs+Jujm3onkvKKu
4Fvu59nXTLf8gzMTnQIw8L5pTO6g+r1AgpssAvS8qr8bfcNYmiEVIi6maZnsTzAE0kfb7oPcDYlx
cx+W3MedilV6LkBdJJp22w6pv1QaoBiCEPJdMBL7rIkJkKmPSKLLSQxkpENsW40v1LqwO6egFtOo
w7p1zbO5hAxfdpV4ij3nnTCsZsWx1jAVN0gsq9djrE6Us6/aNJxkn5DgPDxHyFuWM+e2LY0Nuce3
lWEdpKHdKiUCV4seoKA8dx68W0MnQxCkifCuVRFfzB2MWwbcoa++06wBhhFpkHV9tiG6DkIj4peu
RX/PlK+tx0shqk3bZEB0EeCyJZFsiWjTU09jVqtdqb59KBKCP0OzI+UMjkkzPWrduzPwTRxdsbXs
VBTrsJQ5ithQUsSmg9K0jT4q8SCicdo1DQy4NCJ+2vHqvr7MLOupqGyijedmI8YyghSecm6tssqu
AbI4s7XriSJBEkFd5lnFQ9Z027aXT1LmD12jPSO1tW70wZmvufCabZs3r42Je6C1vk+hd9XM6tLP
/SgoC6ZYDjO/IGlGEmbSnIS4ufDv7cJTF1ER3wEh/Ma2QVvLDABKS6NIsdljWS2ZM9t9/Fzi4dBk
fJ8k2JV8SzsOY/c0GNXMmBFRR7jYkIl2BA2acPes/YwzYNBygj+Her7Sek+7d1NGtkr5cgE20Ua3
dvdITt8Q2L0o9jzNXtDkfWC747gfjV7umEyRR4qeZyfBVlDt1aQK9kzsGcE5sHh8Y1kmX5OPfttB
uqE53aG+oEDVwrekYoc0u8Y9pfZTa0x3kdO6B98enqoFfGFHc/g/YrEoHn7qdBbLqo4zm9xll15H
OEtn97PCCwhOTfhCM1xXHhnMxlXq3bv8qx26hfR/WVd/rSKW16LTcw3LIKGCzF6xdF0/q8m6aupN
1urXHla17KFRRBD+D/fp/3qJ5c9/egmZN3kuh1xe1zyYCmdAPL7Y9d1/L1X+9EV8Gk1BxWaY5h9e
pIuzDN2TlNdWe99UZ6Qu2nj47y/xnx8Lb9VPL7E4p3/6PXomuJFhT/KaaMui2c4Flip5VYrXVP2P
V1o8Fb9WXb++0vIv+emVEMs4hUvA+nWDhsooWVWZx6FgcLIZi+NczL/NRN6m/4veqz8p85Z/+B9f
jgAS4rEg0vls9H99OXxGJGv2hqQDejJ6xLvufRSfVPFPr/FbFIyBZ+eve41DUb+3yWv+J70GP/ej
1zBoKBa/P0rwzwkLz+GPXsNwvxhEywgOg09uBz/1Q01Bg4JRV6f45wcFjtN/T1/MLy4eINxaTG5+
y6T5G70G6oxfviMOGg/HdkyT1SIyVp6CP5wTIgbQOWmNAt7Hhn9rZLonLmqBZutDn+fSodTq9Z7b
3WIbO+8rN8tkSbmccoK5dnYbmsxIPYTm+9YYhVpZrvlGEnK3rvzwldSXuyzMCqx2uEKb2TW3lgMG
ikaqu6hc9yOuPW7cwsTbW3bJltUXIqkOBkPvSkHMv+GcMRYWB63Me8p9doRqjaU1Xqdp1F7WusG6
mtE/e+vshHi7DLpaqi05MxgiG4R8OYkqawJc2MSjGrm0R3WE/Xb2qh4ZV5Jn20zzmagyXPKorV2s
dxmGn8kXbBZ7ruGGGg88HJLSZuJGxCJMwIetPeec3rU7lUcRD/eGG+sUO8zHmcPX4OeUdtmm7pss
ueibShi7ykk/5jR9YdiOccAejeKA1zc813aqvrJjClkKxxdRZzFRiNP3PprNZ8pe9u8oQrajm5Mw
SwR2smJ6AHuPFLoTDgpj40pdO9r1pJ8dkN67hHAXtIuDe26FuPGgQdzRCR1krO61GuxIZZeYQr3q
RrgsCwmkAYWi2y7lKV3cnLH3sHXJjEpl2tmIBzRlqo2dZxSlCB10Kzv1oTJ6gF2E2ZL73bZuexXz
2Y0m2pcLZVCzIwszQhb1KX+Tv4ZK3V/V5D6j9mBy4hzqXpn3mjnkycEcs/nYjqV/leC0oMybPRYS
Pm9CeOWzm2A3kPno0fzsbCLTMKJivrNH7ung86H9Rwlmcx389el1V+Wvf6YEW37qx9nF5BiPomG4
grBIhFY/WxjNZYTiWYKAR7xtyx/9OLu8L8t/SgFC1BVxsEuV82Ny7H3RMRsyK7FsUzBu/ltKMMPj
b/rpfkMJRiSy5wnSEQg0MSkQfr3fbK9IW3sw1ZUHm/xaIP64TViYPVW5bR6VzLJnvq5i6/WjfiEV
KtRxHuklUT08CF+iY9CrHIqlkSD3qcKN0PqWaWATo03WL/M89jHUGeHZcXxGz0jO0K3yvBArhR0J
u/i01zz/OJnQQij3e4TMVvaGgaUEhilDNOQzk8y6m16KOI6OVROjPVm8bCYV86rDLgUGUz34ZrMm
R+FVhYU4Dpz9W5RD8lSixd60FYnnJDGE64mg88waKrbaGVH2bsOwhgqX05ZJhW/1KIYBB5gk4afv
NVod+6YvgbTNc/TBBu85nqJww7prTXt3TPFBMhoos4OJ6ApnpjCvIyN60jOFAMdqt3Zd3jhVo28S
vdd2vRvNWD0H64grX2wgyZwMrekOSW/7gR7jM8/y0t6MJDPsXeYMq8SJsmNTIKkJq/FmbpGt1zlB
yIPmzKR+ORtylivkX/5lamG8HxXvjjZo8W0iSbQqEsO46joTbbdgDtHE3XEw05emFoxgc9gI4JTS
jRHRXkfN3C/K/XijSaNFOZDphH8Z+9SGAaO1zD8caAM9Xbqah/p1rKL0Yurtdy2r9AVgB1KPcV/A
Ob3O0uiOceFNIXATZNO0M8f8wUxl759RwCer1syvxsa4rkzvQY86bPxWcqg1gLQmUh3RML6veR3X
ReKWj3Z00XUOmvWyQEVmvDtONWw7V96NcYb3m6Nv8fQTYlboVyLysdlWu9FyzunkX9RS38XGgEcg
j4y1G7rXKky3qBOvijmBlkFIvm8vEmVHXTiqDupM++rBBQrmyT65IWDveUDlYrYIf4AN+rH3hruC
K0h9bXxu4SmsMWEsBjb8IKq4bDIH/T3BJcMbcxhoixbbym1YTWwzQThsCDDLzoYLlmY1qLw61j7J
58Jop3PkmslvBfI/h/ECTfnrw/j03v7JEm/5mR9HsSEo+1wiflyB/oBEuH+XkYhyCQE0qOIA5lqu
YJr94yh2AE8vc2RD92gGxTJK/nEU21+WUxuNL5l9hM2y+vsbZeSnN+nfncaiyaWlJfmbGongJybL
v57Ewqgj3Yjn/lJ0cFkzfJ84TWMzD0Rj+zsxeq9dGMltUzsEqamZB/RYdN6ACEwkZvqcmIjFruKw
GpoDW5sau8yQQn/GhzqI65rpnLwuZX3JAZvco+7AyhdbkCLSbu6oc+L0xYJxeqNKRc60HprGJqKF
D8nVAO8emPYcb3ts51HQOFMLgDbUCmyl3A159wyoMmWKM+FZRChiDW6XdFuznBLjWHzyoqOZeojB
MuETm35BSvtWxI5PoEiZxt4NOKTTnZapZiMbUmfGzDU2csFU65nbPnDjDFhjfOXOG6sbgFsr0yfK
Iv+EXtci1NhA2bWGsq6e3YtBkWAS1Gbl3iWuC88DbRfSlQWpbdRx1t9lVo55mvCY/GrCCGbuGsH/
V1FXPc3SJre3xliagsyJK3FARmvpm3/qpd82SzxT/+URJaq8+5NWjx/6/Rld4PA2eHcqJrShf3hG
LUoil1mMS6lCE/bjEXW/YKxeihgPk/Xnc/j7I8rTuzy1wqR1FPSJfyssVPxHseQvhRpRoVT0LrJ+
DpefZw9GaPWkDQrnEsaI1X5FPp4XCFVUYQRxrA3kOrAeTi46L7OeanY/rMNlfqNr1hqsfV6gqQPA
tO6FDglbeW4HTK1qZy5pLi5UpR0PFOjbo7RyhFlVXs3ZTYVAHnzOLf7ql0maPSNr61K5ZRPYi6p+
FhMK5yb+Vgk2r+aivachhqWkaxQ9w44lDeE/ZqYCiWQ/NsKnBaoQnypKHYXZbRH3Z3DP1sWi+B+d
Fr0v8DgxuetqUH15YWvK3Stc/ImdhNjfcwl1jyjRsBzrb0TvvERj6q57twgJZyq33cTuAcPivkm1
fZIw/Z7a8ptutekux68eoCb7mkTam3lRl+qigjwxYaBg8TEzQs7De6PxbopK3/hq3KXzjdG7X+XY
PUKV3tgoSf2Lfx7E3x5EHo+/fhDPr9n7nzyH/MyP59A0v1ik4SJ58ZCW0HH8dFdaX3gueaCw3y4h
Kj+1LeStsdTF6Cv4Q/3zGf1xV3pfXPakXGwClAHKPf/v3JV/wlddzgCeRk9nzIQf9Q9jOYYNnMpN
6VxlYx6dtKhowrtpyspmT0GV7SRZccgGiV5o2Fnga88PdssyzKF+3oOCqg6FMhkaSp3RRZpD05wG
rIU2BrCVhR7Tc1huyhTfWRaVR81PnYvPzC5aiK1bEEbBgHzrzx5JSiPDeIX5JQztGZlGHJ3KSZ7S
Mt9qHkH6XM3DbT929OqT+5KDK4FEHvsbif4x16v9zBJHmtFtY5QwC11y1DqTjVNZtPt+Ni79zn/H
C3OTWN4V1NYDM/E77BQ7reqetMirT8DETk1M1G5sJwfDl08Lu93T4rvCdL5GiQdx0uM8sDOrvjO6
6BnF78Hy6k2qh8/Itl+H2DKQ7sHPyfpRkq6b8G+2SZiy2N61LdJJUfmnxmKNl7Umspb8skGqiDY0
umgK+7WN+6uexI6eNxqtNmzZShIcH9bHQmRiXVT93vG9pZFDpmeicpmhQ2ZoHUVt4SEV6jiH2pPX
xjdKwu2J+/QwRBgHG9HNnAIcg94iqTdCvEnQ0kzZPGPE3GUV8mXHaudtpHISb+v4rSvGdq1qwwmw
bO5ItznmDKV2hWdelrVtBrLP42DxEtdhbG+s9mNwlb53M9ffMG1hguW4AXXjB/AwpIS+f9XkQwOf
nR3TKJp7r/Xw8/j5nkSam5ykWn9sR+ZQkMf7WqydqCQpTo/UC7bnoxfZ34XTWfhUU58kmvnZbusj
nqIXwLw3DWsapjDPskZm3vbxB2HMWDpkRlJEl14WQu2zDrZTaxsdVZx8nzzQ5ZrhMNCpo21qDm8q
Rp9LoOVWjNmboqys0CIv+SSJ230bGWifJ8dhwFQsgpke8QJkv0VGw++Pv0Yt2hool+hsRgRjYtV/
QucKToMAVz0rSWyo+Spb3vEZbc8qCUngJAR863+S7MIFavf/7J3XetxGGm1f5bwA/AGFfHkanROD
GCTd4CMlCqmQM57+rJJHHkkj28f3vpmxhyOxya5G/WHvtblG4v1Mzt3Ch+FuVtF3meYBl2AfSbau
OJpmagbIkVemisxbVHgeBDxzRY5KuSGuls7eVil7mTGj/1HRe+xnwQTWRNt5HsF87kBEH7LwDsED
zhl9GLYj2nFPj26Q+7NeIuHPJOp25fr+HRK4aN3K9Fo7mOGF8Tx6xAM2hpZ9KAxIuqIGPEE409pQ
cYJex4FsHDNDgYsX3oKHg/OdPFiDz6ynIglz4WtEbsATNsZ+uGJTAfZLhKFLlmFGpmGmwg17FXPY
g1lEsNC+NiQgGjinVgOZiIXTm0hCvKNGZ3nEN++ty68RikggPgpq+hW+tXHTq6hFS12UhYpfTPKm
2moVkYxLt+ifakO8T/M83Pot/99RRTgWC8jkLJP2rsxV1KOW6tTLdYnVVr2/ISy2xQpPtR/v5Dhe
Ez5RwQhoPGUAE4/81Lpmk7NcnozZ3CV52G1KH1VtujQXFiBeMMU4IUyv5x1acHW02RbD37zNi/wu
thMLOhVWGuxHJy+iTx4rfZfY2QdE17tea9+BvhtwtMIxiPHjFkZ2afsGLWGfxwGGhV1YVXunb8kc
CsEocnmsYdbwgWUjLC7elD8Q2STPfjwADExAN1jQU/ISBlQEEslOu2dKH0jc1QkT7NtUCoM9e37s
snHaRMa0c3HP/Fsh/F4h/OVo8/zStm+/6qe/G21C/CAHkIIcGDIftR9EsUD61f/ssXf5T9D6f4p1
JGCUFMocqyMSQyJB+fCtRvB/IwoCeIgqFKjogbz+g34aEe3Po00b6ogFKhlqrG6htf2xWh96f9Ko
wsebmdrX3cRDmKJxcNG1k5IGvlOEp27JInMzk2SYPRm9gdqTMUDSHaolUQHBzpKdW1bpyyZlRrWA
DauKEvBVQZbsp4n1CtuRqgmXDbNTHnHR1Ownx4j8L76eG927uW3RPnWJa4UAPJbFX8uKEEtgoZpq
WWuHdFP4aNmIU2QpWZ+uwI5Oxoag2GbZWK6B2FVZFNYdJM5dr2fAopohsuxHaYBD24JAIoPc4IFT
OFa3r7SBHEBz7tMvo+lN24g4Pn0TRSnLWJB0wBqwPx1hvcrXBJ3s2geXzpCvmoeNJhuHVVHC/Uxy
zkrPNbQ0oDteB7sFQ7bkaCTgoMQ8nCNrZ8/xF2fUmL0V3hcqHWuF3z/fuBVfAwOOunXo0ci75XiK
IxwwnnqoRklOGGyHclU2Gi2B62Y8pbsMMyqzvFWjY6fp1WLLmBN9T6I2dUiI+N3wJEbMpYyOVaPJ
W0vRKggy9HdeVbxl7mLvSBAlnToerF1bdqTVEcxM2Ua6tGX38jbT0S3VPh7OahCrHBoIcbSg0iLP
fIuR7O/peTgWoAVQp1pYjMsIYqmjvTKLjPbOIvuA29XbxU3zxR3DEMsBJZKbU/itxwb4k+zIdS/L
vD36ts5kWovTC68ZAkbplMdsZGDcp3i2wOmvbHec73w/tHejX+abVpHhsEFj62osgjz7EDfE0vAy
PfO9LIB1RHUagUu1dFIecNqVoN1XxAyRBobyYofLur5DKsW+KRoxBydUJMts1Mj8ZmRMbSnkdtH9
adMSnqpcINVmMtwe8w4EqXAqsr0hsVUwlsn3/z42f39sojf4i8aqbP/P/y2iN/n2qzkHf/Rbf6Vm
kTRWtCGC/vYHQIDh/UZslWdbJOzwBFXK2m+DDouAa+hrKC2Qn39tov54doqvY0oeqzbGcPiW/wik
ROP3w1IInqautK2milnBXay+/p3GIvVcyo3CT6+AYxfbhSG4s+rn734xt78PNr/Xz6LK+cV3YWWO
eJjUPoqgn5QcdUhbZi92eu3KNJGQYPSC4DEE+0FoimyTmmRFltS2ZLKAp+5BCQZyCU8D7ce9XsV3
MoFtZ8fJedR1eidDswHo9SjvjEQP9Cg+jCI/9EN8SQZ/X/XGWV/Gu3YWl3opoSebN0xYj3qaIQIb
UK8DHvK3rnq8gPmfadz8z+RVjOgE2RSkHREoiM2/JEw/se+zpCAdugf0GfLnJ7BPqxnGgHMctSXf
heNEFLHWYsXwBeuCfuHWyLoCIYCwnkLTd3eutM2PIgdxoKE82SV6FjubuK8reE9znT2XhJBg1MOL
v498LLUHw8QnRWXpXZ25nSl1cAUj2/fieNWZlek9LaJ2EPAKuWu0xbF3BouvpQYkyqVbB72dd3OI
/d3WbrxaaBf+/mqtiDWZ0gGWWrHzqLbWTk9P4quxc+N6yd6UVnbsp9rxbvl+rfnRniO3PYm5HEqu
UfO+dBt7uo0NfBx1NPvAWhz3iFY0+oBsw3oe3JgptpzZO3dFbx28kvYJALk9LnuPG9kJ9LH1wYsD
D3eY4W5AClhrUU3Ay3tYA3UUzYdB2MPV73t30/E7BxK9tC8tjfY046GaJ5K5/To5aIg2N8z9mYfB
6rxH+HtM9Vlu/NLw7yNIpisKWYx6sx9vyyrH4JdZ66E0mK8nz15uD2feumHt1Mmyadjr0IhT109y
So4OCM+NS8uw6zppBIUfWtc2HgShJXW7c8xhP1oFEtVJtHcRRT43TH5JCnnBslts8ya5s0r74MU9
IC9H7ssE9mVk6retP77rgHY/Ilz0vqCWZjaQrZ1xcr6USb+283adhbXxoGv9FrQN8Mwyg3UOtMaj
Yp/oXFqn+ty23VuRNG9zOj8xdiPsZTj6U77lAYJKZNlZk36ZvQFgE/tVW5wXxMBRM7yC5KKF17Zy
NLh/8Lb38yfMHNxbn0K9N9ajI01ucRB/mT18sJ3kVS6OtXHarD3SvREEPi5nkROxEomLU/XQa7IP
FW9f25nU9J4LNMfZgm7c9/ryYQrbTZTDVq31emVCC4CiWOiH1MaCYsw0A657y894bwNAXE/JEtGr
h7h+Bz25xJaDzzEUd50s2stYd6dITBxmLPyynvRVFnI3evl88vkQ6aULHKJZT3AGvMo8W1P5rLHk
zGz3XS+iu6Kuzi7/Pgj/nPfDXewzKRDVRoSANqJoImomMwhgJ6yyb0pQ6I1+zbTsIynbHytQRkmb
nUrpHYGZ3S2jsZZYpEspL7aVBrWs59PiutRiFAkehv86c/e9Qs43dKXxBCRxGY9eSV51vRTFEWTF
53wOXaBSBZnBEUwnezKzXe1Xu7BFf7vMWr396yfvLwRLJKSiRkDhyPzM5L9/fL7HswGx1ZH4H2uY
+YP0Z5Sxc7YmHkmeu9wc1+6Af7+Mc6qm5c2o6vaurjP9wVs8kgOm6b5X2LMpXGe++6xP3a6OnS8F
C+A1aDAVlgvDgunKtlxU7naY4BO322CkIF1Z9SDWrtftMdm+Ah7pgyRtnwQiqg1yVCigZNCvZBGM
ddBOB6PKmE6EBfnNzU7AI5Wi3LW5+3mW+TtcCcceA/rSymPd4waqyrPXCn/XjTOeyjnZiwluWQtF
1QkxZ8ZWuouYUa5bvb235t4Iqtg56jEEJZT+Og4FA6VyMz2myWCtfIfxj5jFjZWQeFQ7DrKpJLsM
1XKN2/SQjfbORj69TiTg8yIjLcDD6J8TcIBAYWNH1VlGeP3dQtwkcjzJPicaUGBUqGBnlHO7LdPm
JkvlPdpTRhDFINdOoQEGrCj2muY2MdthnS8MDJsmfbRmvL3gLl98gB7JwGGaOKAeA7AsqxXrgN1W
bq8s40Oaz+vchMnnW/uR55DZlsQpuGe9xp0c+drn0HAW6Lf1ikZ8WmUyJ+yoUs+y7py4znuhy62u
z+AwGJ3MuTCCtJ2zjRVHN+ZiG2v8hAplk3p7cAn9U0lO1YlJf3ORVLK/77L/VH3JJujnQsRBSQ4u
CXqGZ/0c5MlQYoRclYMd6JO1mR4b0f+NvvPHlQ5/penSJjIDxd7JDknti78vdUwHfZ7nR9FVOim5
WjdJn+yT6r4ZSYJvZJA49dZPN3/zARRql/vfXe//flf1c39XYPVV1lWWqWkXIInvkBYyrOYfuBXf
093BoWRtE3Se/eyEJvR+EEvDhHFPFuDddJGUQdEs70vNPaMf0QOMIFvpj8arF1vumnTQR8fLx3WU
zSdXWh9gwU1kCCBO4DQV5aZf3GLjVVq9Nipk6m4xz4d+cs3XsiD3iSG2uUmS5JPkrG5qHQ4rT+B5
3XmOHtBSv+stuTDoyx6ZXIlDHuF1mrvPDIX2XEoPbdNsnXZsV8JO96YeawyaqVDkWBQ7BCR6UMO+
WDejTQuVTPciLhD8JQDNzYhQDx9jQjt8qdtRrNoqOTQWyVaj9TAteCb07Gh3WLAbZTVMQlMyeCXY
zuntQ7akJybD62IOxdqUpJ6bYcZTVn8edELPkjS/ePG0K5pxM4QLJ1jfZF2UBzG9dZnm3qpaUm/d
yPBSKeya7e6NElqkF03v2GxTwFXaQ98hSzHNTg8Wt9tpFSAooy9fnKi+NHp+V7NwbzqSyVvjONi4
1gfb3LsMF9eVYTwWc7yfQqApQ9NfK4c7EszTgb7uDZkU5Ey45LVt7aLKOruEVfzNcfu7M64K8e9O
GwQ6dxC4Xi/pubiNrtq2PtVPhMsdiNQ7e1w9wScxrhhSXoqP4+mvv7lK5vnFUWcryUJXIJ9QL+67
b87G3SsyXKCXam2virMIqi1JrMZJe3a3ZC093mjB+XnYECU2vPAf8jqf9dUx2YZXk5Slv3k1PzY2
v3/uTJ3yErUwbZT9k8Zi1kdm3EYaX2P9FmfzKtGfm+H31vf/85n1v9+DAdf3P/DS5OiwYhlzub5F
DfF8d3/9G/3lz+Cy83LVHI0R149/fz45MBmTmstbu619Pg82NefvT6h/NUQWx/PP2/d33UuRtCy9
ftG9qz/5rXtHLqSmmnTwX9VCShP0TZCO3tPiS4IGHhk2OoX/du8oN0mpFEzaXAF+T33p2+TT/U1Z
TLiRTXTqriDD6h9MPhnL//CZQ0rEcEDnJXCfWagpFZnw+yOoYRbKmkmWN/3sQA5PRUWXbVi6Ut90
ubx1MSh1QS7tq13Vtz3yNgvk1qYROS5MkhhyIz/Xovkg5/Io2+KejFLaWdySZhpePNu+QJ3JgsId
d5EJdwkuEcHh4zPEz7evLvYSjyFYfaeEwLZsjRxvWbwgXsTnh5KoX5mySy9dr2znHreBORTGq2Dk
ONFVyO0YDZ5xQHXfJEdsZx3bPuCkLC4G5OmrHJiTg1lM5/HgDNXBTdwcAY9/dKS3WA8mNlPUCflI
AKDvg3Q9N2nSfkjHsFj3g5mLraLwAi/rgZHSxzNT8O123NDGamu2LE0Kg9cdmM42kV5vcrbQTCzH
6bV38ng1YtB0K7sPunjceYPf7KrEIQqwDNfuWE93qSfHLRLTCxJWkonaDq9gnBDPTD0c++amDIdH
oYdPWrMcOle7HzCzFQRLWPBviEw6T6N94w/OvPIqJ2ikuIcp+1JpJdWjq63Krr8QjMq+S6vontnT
NL5xP/TawTHEpgjrqxdVXwRg/Fwb90bSHUcn30dhfUbufs3FdO3L5lWf23uEK3uROo+ZP8DAc/eh
Ed04MavsWlbvZAWlvUgYVuu70W7vm85bm9MI2c6CGO2Ahwb74LVHEi+IxMlNsUn9LwV5AZZ0rubY
b0bGpfhk2Xu2lzBpb4nn+QCxZe3iPas0Y1O48XUp8xvSHla+vVyL1tq3k3hexvICZWhl5cWV9zKo
0nHrx/E1JZwIkOAJ0Oq277pjagN+cfSP1BhbpvWXyuxeo9JLN+qtj1wMdw2k/tzYec50Jp6lW/W+
fu1Bnc11em0ccVfPaHYX7dGOzYNM1TsM+pjm7tAamBi4jf2wfvMt2AeFfHbT+JFclPsu1rZhZZ8J
q9mCRrzq6SDpcozzaE2vAy8CwpLBmtQ4hwMrYNcIWI6fI9fYasl0Gqf4ULZk23pz89a44p4ogPuG
/CTIeYN959oNOLoxvjqhdZltkd80Uk8POQFKSkRQKsciZLOVPdU3umOfR4Mj1TPWlkOr0Z2MqFhb
//McTVd9ws2bm2d8p3dTjbpuqrC/Sumuzbr+SPYFx8906NSIRauHGZh1+HFp5GX0p3jr5f1DNoYb
U1PwYAunuCDCANsIO3kzt1QOSzMp+BWwyNi4hJZ1b8HnDYDB0TtNvONsvG/TStu1YAYruDZ7NHda
oLVuuq0n4wI0fcdkPbBZWTP76TecDt4tgQjb79tbFs9zUFiMmEyEtPHcnmSe3FhhdjZrtV0dN7kD
KlnQg4x1/qnCW7mltlkrn946DREMJJ1zZ0vvUBJ7gbCQ1W+Bf2YVLlOHJ7MPSl34gYhRemA2PuNg
IX+n0xBJle87V8lGBCHBWr5ce8O8gMn67Jg1rYEn9mFFNNQEK3RVpMM9JLqnzneOmh3tPa2XWzkX
VQBa+mL7GPgHiycACedV4FdIO0QdwjNJqnqLYfVc1gaDRTO5oXl7HBxM4HE8PUSOzXk3EkgnjCe8
7CaU/GrimpRMBFSP/oDYzE/I37JsbTzDP5en2GYy8vXK+/fuV/FMf373X14+vzUvv1BFfXfvs/Gk
eMTtZQibGFi1cfzj3td/wwTG3J5preB650vfpvbub3gsyJnEjobZ46vP49u97/zmKjWUxx8wDUbg
/0gVZTmqtPxvW6nufQIWKDHwcuD19NSL+OHe1425FR3P8tDPGWXDvutaPEsSHB5x0M/I3AH8d/56
AZjnKnJekUe07f1eB6lnKbbe6Nt0RSPWM1eeJvxnq8VPYS4MbEZB86lebdUpWp8Hto88JT5Xie9v
rKT6ZPQV3B2vv3Z9FAzG8MEB/mcAAbQVDTCJ4o+OL9caV/wTbby+J+vvFOVjGLghada87HLbAxgs
E0iDkSE+gGslI1tRCKGhsWsj7XGLgeQLkcZvSJXhfyl6oVemuNMAGpZZfAfd8WUBdKgpiJGv2Iel
zTQ3A4doKy5iD38M8z7hV61bvnrAE2MgihgYACCO/Ig9lcymrYxbDeRiKokDB8GYKhZj2hDo3Sbi
1k7TW70wp1WSyI4sAxiOksnCDjXxAFln/ARMsA2k0SerLPZYv8U2Oks9fSDA7xaNJSw/HRtea4L1
hhjxrgUjmefGHVT8BiI/z0wN1GQMcjLuJkIeoLK6YwxcBCxlZFQp01nuffSQUN17G7hc0oKaJxTo
EY5xsfdLmyyLjmTISJEv0ZqnpONNn1kNz8doiAnRLnR0MoqZaY6etqnAaDo1OE3Lq5BphOHdrFib
MSyJ7RzRSfsy91eRYnIWis5ZOtquVKyBxGWAVX+ckVzv2shUm/CYwXTkQosD9wmeBx06ME4IoCEc
0RrAggsdlJnYp86PwZEqcqhUDFGpaKITWFHw9QcnaqoLDhvgcxFGdoDL21TRSHWwpElodJtBkUqF
qO8Z+sZrF1ndOlU8U69Hl6srxmmDJSOI+uVT3+gmfMOe0ZxioqaKjtorTmqSQkxdZu+C8Mpfe5Pz
1lQk+FBNXYuxKwKz4ygzz53W0ZBA8IzYSRma864A0DooUmvC/BT7kSv3XTuBcYhGAuEhu3J5feIO
KVZjjsQX7SB6KkWCrUHCYmqaViR4WnsYTx/8VLwy6dy5iiMrpvaiESPC79mD0wBsdonrVwK0FODe
rQnJan3nDg1dRxrkwj6N4ZxC1U8KWm+OIHfj5yniMy9wBbE46XXEj9N2Vsh7d8w/YEJpgR0myAkU
GL+256eJWTtTUUQ6U6KpMNRsXSqgfgZZ31OI/RHWPushdGIKv29Apz+BtKmJeOX+g8/3sEDrb5zq
3Ct8f18WX5KufifM+FAI74TJ626B97/A/RcMzWMtvugqEKCcWWhbklVQ3lj3eukMwJAJEKA0OHkq
UoBB8AGoCCEDGS/cj/Yt6QOIA7442NBaFUtQws4uw3w+ltr8ItSApzYwENVTR77JPDjHZOkIJIgm
GOKp23XP5FgM5XaKK4sEEK0p31Gktk+MsUe2EgJioKO3Q7M3E8/+GGWlfezaSka3pIBF3qGrNetj
iE8nvKQkwO9y6pV175MKylZiY0+CoxFGkowOK91bJTzDMUU4NXLuNnbFwJ9T+KG3+v2CR5ecTWcf
O0uILRRB05hEYIHL8M5blpup6LsAA/sSIGe9lU7EiA3v8yanxWDoJQVasfRL1Lh3jYNwVBuJQcPn
sQfzIwOXuFL2O+wShqfaBrDIp3jnhXgn/B7XsL7c+lZy6rPZDqpKfzEmnuNlAW4cabkxGjLourDd
12SycNbCmznTRTB34Iw0DPCrAqVIdigUZLM1ixe3HOKNKQBwupA4kyx9FZA5y3Qi4ENsi5qMsAV2
J7Uhn0OF83TheurTuWBnmGd7DzFiseyYtO60wbuJFBJ0gA3qwAgFHMAwHWioCz2UxtFYGQooKhVa
1M1HwuGAjcYKO9ooAGmhUKSgnPNVKhKcJbhPZnil5qAbQT6ieRCwTJPURnnTuOeQZrdUuNNagU99
VJh1LK5WDBLVjgABNw0IHmipNK63JfRUDW4l5aLzTLLrp3QEsDpO8jQq5Crz2FMICsiuPfQYyc2s
4KwCSmulcK19Wm0TX4cX6wGlBugK9TUKHK00Vj3q4sJMzIBcO8Kt5Bon0DtyWYjWgQ7r0FJuRwWM
Nb3ulCqELDJaMmjmaYtT+GgpzGyfxCgyIc9CpuL5jH43GwB1a8k7qHwvde8eBIqQDObbAMI2M3mr
dWB2jaLbumBucyN6S31/b4O/LTW+GgLE7QbQmABycxHv/q0nv0pBBLuCv6gn2ap8+t9yUv2hb2Ok
rwI6CJAegyQdXxpf+qOcZIxE1oPJIAktmbKWfSsnEdD5PuQCTGeo6Nle/DFF+iqtY4yELN/XWfAh
2v8HUySl4/+xmFSBpsykDIgh1LRf5RvfDW7rsua0xWl8W/epDfvrq0zNdm8M9E+NuqqUhg27iBK0
QZ/RfeojpXSbmYI3W++rAm78qoYbgTWj+TLDF1rsVN/ANJUaDZ6F18WI0xmrGdPp6NbKioQhS23F
pGIbvZgYFC/2IoHHt36oVFeFC5FrmB3urr5DrTqvmrknvAC4YR3vXR7rhDynNliriYHOvo4aso4K
mEwrpx5lc0OeHku93pxHdxN53D6rzHOoLZhFvdmJ3/179P9D9WDi+BdH/wXi2v8efTUm/Xb0v/pL
MHqx20MFhT79u6OPvwTfOxNSeDLKA/bH0TdJVRE6x5uhpv8fV8q3Tsr9TZk0CaUzWeRZaIr+ydnH
LPLz4cdLhrjVQj/Kq+Av/LGTIlHJhqSuLzdmHj/VzCsBUs4kaVQ1a7Ml33q1szN4ftozaWGT/wQ+
CYF6D6Mr952H1LMuZtkd8jTdgIIK27XrkoqxSRAVPMrSNzZktt9FWtEcOmoAMP4y1V4FUmaknIY5
xCc3HPIJ9pqOH1q66b7tKPfyPu3vdGTqMJydd2OmVlQEUxArjACwMNdVTIRWPZUP86w9wX56NOkG
VrqgHNEbSmttJoHUOxqw80g6+NQsJriqYlxFxMdWqbjlRnwSQ1us445LJezUsrsB/hcWX+aGkMWY
SOLQQmYvSKiirZtuusZ4qSV1sj2Y/Rqyxud6zJd1p6Pc8CdvE+kdpPQyJiiNML2wAuw9H8ap1AIE
/Sejd29Mknp7Iz4tvRtgf3UxJMQqNmo4NUP1HOv+B81ywQlK8y4r201nw+dKyPFr0uWxa0amuUZ1
NULGQlX5RegGG7bk3u9VM0ZYbRXlByOfn7K2P2nl8EVv6MZ0bXYDYZo9ngTU6pqWdUyks33dasDn
YieAni3WoWAxZ7O9uhFIZBFU1mxhO7J/iScOOsWYLVO0Rjmy2I2XZUtQTOSDYu39FM/RsTDxoHRh
qq+IngkKT3BZm/u+b5jpgAwxWalewMbUFdJdp893nQ2EbwWd/gCHIMD4fukm2CtmKUQQF8PW0sPX
DNZWJifiTXp6nmJ6iZySZBTKsFL6aFAUHDDGTRCb2ovegL1sho6yIkNTgYsIfIx3QW04bDydkBPR
xw6pziZ8u6J5F7comkSX4woQEaIql5Tmpen3MSmBQOqILZODu/ZoVHdIFLqt5Pxfe/R3rmYdABk8
oUvc6714GgcmVlHc6uuuFQYrPJGe0UxzXfhYemMbPlM4kNBSTED5QT+Gu9kw9Gs1meKOKSetWTbs
fKti7Rsd84xgr6kWL2zzbAarc3LjmoIAGtvazl7OLJiZH3JhGdhj8Tq35VYMyfsygiTsA6CLCF8O
UjnLG8uCPTjlvz/d/3TR99MizobtzNMG6zeGceUR/2naUpkT4GDNN25k/phZn217/bf6h198Cy57
LK86z0jQZz/t+uYqmto0caybrH3ts9u5eij887/l2e/lGcvdv76jqrL9xcBPiTW+XVNUaCbbOpdt
nwWmRd1Ff1Ro7AAp2X6/viDR/feWcsnqYovsMo2DPaukuN/v+TzCMRDVAm75x3s+JQX+sURj24yC
hYGkiWSYE/LjLZU2WibcRcQ3uY7n5xLD0fg4GXrswb4viugWCIp9XPra+ejE1sguWiswupF9MX5o
Frd98mOrfOf7ib0EYKxH8PWF2z23Zm/QOjN/2zhxis0q0Z4mwcNniljKSCGyQEzOreeRFExycT+A
RJPzyxgtL2RLW3zS7p3Wywkf0XdCTe/FzMjKyJzNNECj1ZojogpoUi0msqghmIJU6ZesblCB4HBa
odFTkH/QHjNqMzgtnsLzTyqixVvZvX+woqZZDSNozty5twb7Pk8c9i4morBwupL8GK39gXupqN9V
pvgYe6wAypC7gnjOnpCXhWizxM8DJKwIwyz7PnXc8+C170UOzMop5Bno5qmPiVAkOZyUmNaF6tRE
rNXGiqTFJbsf6uqxtpbqYjZDuVoK+tRG+RQbkLUk7ihrm8RF2JnoWKcikucCtf/iVu/J1hiC1tCr
da83b0vbzBjJJrnx2n4v23Sn+/neYMBAFmRKD+8HoEInsFpiS/eG/S/ldwAhYSQb0LP3ScE/WcPU
rwq/fCri7DOd5J1nAYat5Ccjix+ckiitrkutM+lcByx4d6wgALzbbhxggw1XEaSrSFmwAf7cx47D
7gyuFRKYz05ZnBYUvtXsobDUCZUqCpd4n6FMicuaTkViBJ0+4oEsi51MNISTVs9i1RiwxRVPqdMi
aHPGZMuwYeNUpEnbzhhoI1VArHtbq3aHa6/mmO7cet2qsQ5d5uRPKHGndZP1d8vAXWab8bWAL0qO
BNFR6dw/NnP6Gg4j0pUYnIpNACwY+mdHeO9dtkqCgoTwW9Rx6mXow702e0SoLDcyI0UtEVs/vOWw
lldr6M/Sz26X2fmYOIzOCsCd22ZKmL8x4YEkMZ86h2Nn2Om5FCWXH01PrHnPGmm+ioycBEY6hYHW
KLBrxiY9vyHs7AQv+nZoGeN1yh8auRb7tfojjHUWreIx72S0ckr3WA3OzZyQz4RP8KT5qC2HmuIx
bB8wUr6SLnVpnP5NhPlD27kHg4yhdMjYiscubnvpE85Z8j5g3PgsjZGP2IJrxZskfrrCueGHJ8J9
jN/XDWsuQ89vRGjcojDagq951bQw8EpfJ5YY211u5rcK38hUgrIz74rn2EFVwrUpVppeyJMm+yqw
VZZIiB08cPP8BRtMtulmeWe04XtJeFaAGwxbE4pD31vOsuguvZExiLQ+sIF+oZokvYZvOhL+yS5S
huSYEMfRSn1nmdberKDIQb8mh9SxVoXlFduZdFVLZErQiD3Zjo8+/d4pMZrirgUZ3B6nwVBa2oIw
JTaFrPprxM2p99znhWRGnhNHXyMs3dZS73ZMaxFPFiU73skSt9NsHZHQGNeYD1bAe25DqqQysQeQ
K4wZp+elLqJ7CPrylFqpvev4FWxGqcm9gf1zBeTPNVcROBbyRZ0u3neaiXoBMRsJa5XOvjdl4fjv
Nf31mlZLtD+/pj/0r7+4otWf+XZFI7jR4RE4YHg8pYZiXffHFW38BswHjyHqM0UB4fr8tpMjrJwr
E025/oeC51snif2GVZzh8yXUM5b5j1yIcO1/vqOBtLmAFCxqRGrFn6tE2TWdPpWTftOlZP74hb1z
SJk4Ca1XtHCjghKGy7ovLJ9MphBVcKmeq+TQKXovVkPozYnl2+emWfqV5WWMYEdnN4zk0npTdWkW
jW28jgXP+2QMGT6znBwdXBzrxRkPfuhtE5c4rSqJdn0bSi4KliPuaD2ORbO3krh4wGLRsy2qPjmj
dyr76pFYoCpAQJCsEDd+krNaDbRkWDI13ZM3NREoVsbFHYNNVNmWdauZzil0Rn/TjTop3KMWrjWj
Ib9T1nC3uhe3jz6FORNiMRf4EQEVHrzCV1hH7b6Tnrz1aSPJRGOxLU3iwsMZ3HdI1RtEpDqQvz3f
xhOJG41vfm4TBxsyQpeOcRDCgveJMB+60q/WWireqsyeNoSbP8JE3CTw1XoHz2K+GPuw9j/rJFyi
6ycA2Z/uCj29tI74kBfRKV38Bwws7specFQ3Qn+o3JTkXd6EjudUIIkVYbhrv8wIpgPoTO89rA5K
oWqwSyG119JvVfgGg+nkLqH2IN5j9MbjPOsQCYqKtrMiPUOJWpLTMJfRwUzb+149ZicbUTaSQeIo
IWemxKKiDwf5tGA3qjWNYVXhC0JE/E62TM7LJt8kRevd+KKad5K+kgcQ3qACMkrUNm+iHpgIL250
p/UZMZKJTSrxkF3rWXyR4MtYJDhw2+JU+FcZQ3crCtKQwsyO1nTW2baQRXVkBXITc9sFuvRuRq1k
T+RwW0Rz+SXPEEi0RnnsG3GtSiIJe2Qaqy6xWBGxA+K21HbpBMF+MPqPThU/ZVnWBw2ggVppfalV
+b1F/HJlQWXptVAEk5mtSPlKYv0OxYX1/9g7r+W4jbWLvsr/AnA1QiPcDoCJHA6zSN6gSIlEzhlP
/y/Qlo/tE6p87ztVSSRHw0H3F/Ze+2gUyq1qV59GNPs9qt2+BlxfwIFyRdfoB0Ceh8rMj1MnfSPU
CRJLL4beTzBkHLRJZfJNjMGjxFm1J4ekZOFjPTYdyI5W1dgAaBiu7J7KrqbM6YW4y+fuKMZ4V6fJ
XQypnQTZl1E07wALS7ClauvN7XBtU5F4jTmSFCqKs8SXRemhHHGNGjtTBPSiDv6JIlxl9up3Av3I
le3mb9Sf/WZQq23VMmwpO7Kl5mk4pGT8IS0S12M2vke8174JLNYtTKqPUqNKLKqzw7TDtMttEukt
BWDwnVqLUoewByXDG4G7toS412OCSmt3BkgPh0j+6EaJP0YD82cnV3UACj0m2MdNNYJqovbVTupT
nheParo8qUp7y+sDQmpA7hidczNhQeEFe+EyELGAd9+u1/3VIu5aR3+dO6digBohip+U6QitSzmU
+dh4xRBfQSC4NxiiRlV6Z5sFW6YcZc7G0NelqMV3wXQk9zmbuyaoey/RleyQ55QDgpQ+miXTrdUW
smFpgSsq+RDPNpk8WmhdkhLsISSyzANJAWIjRGWnsZcOpPhOJE/i/nPP/toO/8979vqt+g/3rPbH
e1b7ZXXsYUu11uAqjcv093sWnjKAZhwAIMZ/Heb+vGftX+icmeaSao3T6OsK/tc9i+/T4W90qHvo
Vf7mPctL+3MvjMgGu7/K2JZwawYzf+6Fm7rNDYnM/VJVcBlVDells7IaK6CNalLvglXlutIcg6p/
F+AdY5OIDwHwsZVBtkZHIrCqPaJZznIhY0UCiQR31W0E2EgTFcAc2Ddi5UnGrCb8GsRkCmpyBDlZ
gp60QVCSJHwhV8rY2IAD3CaEIdQBrDRXciU18IdiFnjhncpNV7qltXIulZV4aYO+nLlf1iZnx717
EHK0XDj3T0ByblqwmXLlZ/ZNQWCXPmQsKOddMLEznKVzm4HdDEcefwmHc5Ycq2HGGT8D6RxXWuey
cjuLL4InKM9lZXoSWeUqQD7zlfYJcaDx4HpFfucAK+Whq469CFNfq6BU95rleGlUu3GGOK3O3kOc
OCsFjUaw5WwmVcot8VVNMMO2lsBaOaZ7hg/AUjoO/TbyGiNTDxhGT7ognVhFixMUM1zjBqx0kKKC
STnJnNG8r9XYZK7XINNjU8zEsDEudmYeihE9A7xVusFWZgeYE9eUUK5eFJ3bdsFrG9oPiWLLQ6zo
e2MOPpjbEcliTLCTzdxrZcIeuKQ7J1VyX0YBKtc0Fw+z7bSwaOQhL9CXGGF1R72/n1BYuRFZylQ5
be2WcRscTLRBdFH4bavE2XL/9v4SxTOQHNAHgFq/N2oBJKhWB7dTFu3OqVGRLjJl3snuV2Gs7Smd
KrbDF26KfOT8TGJJcTBXGhVrqNEdyes5VKCqppVZNWAb3wDrTXZdKbN637RhGdzbyHWOcLJ/hEoJ
wCZIneOCuNjFwn9o6vChFSziRKftDYWaJe9Mv4166Q8kydhDURLT2kBUzT/LibQcYxlPYhqeqxb6
j7mQiq4hcoxBfrlDUD3TwAog4stVX0xXEFYNt7ETBB02iqoSoBC3TLHYPBLKE/E2wjWw86Iy51WH
xsVqqTVtdStjqLWtgZ3PSdtdYmlXmUl9JZyOZMTgMoj0EcUpYeVMJkKtlruBRb6bqHXsN5z6W4pT
3G7pOQph2WVh5AvHOReZs+8k1KXRUn7EQfyICKSmUAwjJADihx5XT0NqewpNPiMZTX0bGukrqvIC
4wf9dmefdUSvroow/pYol1dgCqdWtX5YS3uaZXW9qMYpjBdj05byMpErei6aHFIXueiVZZ70qXGx
44kNwcl3Q0jqRBrP4HweUsU3ZvtUxTCSBnwsxNM3boFvKB6YHnVpdmvHluJqZfNSKR0jp577Xllu
IhmUrql3ng7uOI8TX1HM/dKOJa7HpGZv0zpug8V8JSmDOTrAe7qwJHV7g986otfTYEF4SvPl1TFJ
8OnyxjVZ1kqwl5mShG431Ff9uBycKn7XZMW9qZJBn4/OpoqT+y6T704T1V4/wfkoauspVNA/qXnA
Q1xGwMOizs9rzkKqymzatV+4239u3K8bV2ep+N872/u34v82+LK78t83petX/t7fIiwl75e9vubw
bf8EEKe/NQyAXLiBAPGssMyf9675C4JT9va/trB/EAnoBCY4kPMselEuSRwqf2dRChDir9euo0mY
OLbUDP1LFfvnaxcaq5Q8cMq1JXO8FOVhgNqyKTKTZakKeD8FZqagynOTKL8lFwHiWMwgbQRxMM5d
6WVJR4YjCpwq6ROXARNU63EG5l/boxe37fuYT09Ii14rUZ/nXj8slmlfVYRF+Qb6nqDSH7kodjhW
Ei/ssrtJ46kBK/bdVGO4bWYLTELcOuz8NqMdSPaGDYZl63NaY3aTsYKTB4sO0g5h7kDIe8Va/Nyp
n40eQ3usVgiWCO5N6I9Jc1MQNzEVJvltN64xv0ag0473yNuWNQOYRxly9Cjx4JOF9lp9pQUn45oc
DLFmjREu26586OtEVAwWVYNBNfCeshydbaXyxA7tTKS6YBVaz7o/SHazqZLc9MmMOB7Cdl4yEO9F
8qOzrI9AGHgH0Kxt9O46w1fSYnwPZiIDRgf1KUvMe2tS042aa69J1mK2cRrNh1LBALocwFy37bEW
xTuNWUIRn0VgNxElQeAxcwOLRBrSe0cWW60Z9VYE8czqET1OzBgmYTwXRklUk1VeqmUqr4hPnl3F
cvB2OBc9rA5FhmdDbXc5IOzMsY6TDJ4takRyl/T5UCJLZeQhDkSSgwrj/w1ujKyIwCwJT87IvuP1
fLND0qmG2ILuw9u3sVUSpYJRzy+BLR4YHCBlqnB8IIM6GXncpYw865hdr6JlfpOZpumro31etPlW
tAwShEnWV5KVtt9U4j4c5tuA4A46E/1Sh85WmTRWwHgHEusQrB7Xgf2nWFpv6MKHzs4vxJjttElb
U0QJSMPa3Y5MhBMJDDlPvkmrfLBKJGKj/ZQrCzEMTbuf+vChKparZozv8QU+E9G3J4eNHOEsqlyT
Y5oeHcgC8+ytUBHPTdZ8ZRalOPErpz/tk4+EVL2h4bUpcyh9XV8n3xpr0cXaYcd+ZRXvEx8VbLo+
Oy9hcJfLujrMsguvdMW4j/vxvVBaP28fml5VXad2bsMo8aoW9VlFeISpIuNOsE6UyY7QkH08J9Dw
df0M5uA170PqF8vckjkBErKuPPiDVBwKygMsNG9OgOtH4DVezOV6FMOFwf43TRtPZauQFDYh35Xv
+NmR2ATJ/RJGlxEmSN2MV5FUn7JaqL7Q5m0NOQCqvnIdCGeXYP7pie1eTdDvQ4A+mJvxyglneIdD
dsoy/pnqEFzWd5uxyQ9g6K6GrjjxLxd/mnT9aJWyQ9czZtoWD9TsmotS5HeRgH2Bwzt8SWLMUpJV
EJruz4U5QRoPL6A4tqMz+FSFu0S3Xzu7OOc94aXlzN2s4vjq9H0TVs8Mp6KNliP3IKn7ytb6O1ut
kfFN+HabRn+O++YwQq7JlIHwetu41ZPwQOtyqxVO7M7LcJbDyFZIFrugaOyD01SAuUhdtNNviZZe
EfzyaBVc1ITWYjlaYSjZOSrqEyArIhEN0g75XQCz+m7kPGqiAW+jXaYs7w/hrJKCFQ/7TMPh62h3
fEiOZU+CStQwbQ+oQC04nn0/POdajcbYyLZDK27KbGQFgSVXF1BcRuUAbGAvGmPboeHOl3E/DgAs
YKFNKKS6bLntBiQTVl5DDGyIoOcja2NsytvsEZHza8o+wqjlocPe3BpkDJQm9JroaWjje4lHHBpQ
tpFmsB1kRD1jv6eiQqUBeWQBzEoc2RXg4WOxrGpTdTxHZXqCwPA6Zfq9k8GPRN5NqG4t3IQFozHE
26KqLhLtQmzZn//UJr/WJrTv/6s2+d685R/Ff6xN+MrfaxNm7+CoAAj9Rvz9w0yAxGxir9Ew/sYC
/ldtYv8C2QpTKhIbZgNIwP61H8ciCx2Q7QkGbefvzt4146/4COb7+GF4dRL+n4br+8/FCUGWRbug
i+HxsGlS+rjaIq5K/ArCbm5N3bZVUjLiJ2kML2OSnyqoq4zzbAtKSRy7AUh4Lyhs9S4MTZ8OM9/k
c2G5poiVk+iWNxloC2Ci7mM069a3knTNQA7u9V4xz/A8wHAPBAZW01Bfs7rwkzB6wjjqj9yW6IPt
Y95pR7yKn+k0P41RfrSMFOpsQzSEtsfoRb5Qgh4yzsEUJBkXM+vYbL18WZmvsm5Dmh+JxSjfVF7T
QfkYByr51dfjTuOMarvMf9TrQZUK5boTQ4/SvqAMWsOnsNK+zxH47XVn4WbW0G2GHphJP5dPUV7e
aiaT0JLZsDUTBlv33UCcIOv+cxgfzEq/46I8kyT+sXC4zMWNqVajpzfpdeGYWyIxv+XotQOGllEh
HwaJJFokn3NoVNBStFu7wchoM1ckL7Slgeu0zdx34HayKMPikzH6dvSacet8n4ed9Dr2FXs60sTV
GVr7ooC0vpSI+ck5QZ4UJI6vdGZLwmG4TyOjxf6q7/peSe6kmmnehLBuk8yYkNUYp5EsFf1MBmUM
2Rg4X8oO5shU5K7EyUG4TCl2NEMHBLux1+ggbw3kr/uefMv0qQgVKzxr7ZJ/S1oJ8yvLa0Rf2bC4
k26OqMLjkavF/iQOdz9F3Icd+jk9Z4V77oKudV4bucQ/8qy0MBurtLKxoQZb2RKFZYmY3QJyfTdk
T7KtDMyw+aLFj/T9T00XT2x1nNcUGZMrwb9cRiPRPKXqYf7O9oNTjAc9l8RkB/0uWxhkNKr6qPSB
itBg1P0pWAqWRmw1mcvWG6vViktbOF5NsbmBuXGeopnKFFalS6o6TOM6m26KmRm03Y8VqbLDe4vd
6mSBvnVBYnxUajS5iwG5N8Y1o9hlwKQMvW6uSNW1nK7fN5DE9lpjZve1WZP8UlrFQ6pxm1ZqTMyk
UT2Udud1nalsFuKAAERK6JlQlPtAIbIZFzVOs/kyrtE90PYnN1/jfGRMedGtET8zrNtjN4s30ljc
OhqfCHVFv7cGA5VAuLzQcOaNNhnKQVGc8RWYMX3JUgdebHfFbqrK9Huqy3af9SOY59oG1RhN+4Eh
B/gvZ8GXzpRig0q1uR3XCKMo1BHQDfN1a1oOtigFc04Z82TCnd5Owp68ToNOpdgLVF4y4DYsoxb/
n/vo6z5a17b//T66NG9AFf+9T16/6uddBFHRYP3Ld4OLoX6ljv+cT0NUVA2qO8ldJaWxJgH+7JN1
WIsYOYE1wEr4MmD+rtXSV8bDSq/l264a5b8VHcGi6i+NMnNuJt3AH1B/0Srbq9z+j3J6E6HiSPLD
GZcZ7pklSx1XxUd0UqZanAqrxSejiLl/NZLoGAfzC4Gai8si8rs+QF1CyTVaaF6yfPBrHWe4qGpo
nknMjIcMk/IJJRWEKsIQ25C2DQsOIFZT24yV3rwZILg+ul4EHBaFXMHLDNAKxMoFIYQkBsZJ7bNg
xBedNQZerCbB1zyvUEOH0VP7xTlM4wrmYbLiDydQqApwHNTDoBGJ4R6QBjs/Ahvbs7kCFBWdOWm2
QhXbGUIqi8Zj1qt0iiXDdsFEerxV9eUqgssY6MqVUWYHFV7jFAeLK82GlRRjYrdsubI0MmfJ+DN3
olJukqFO7qrAPnUrDNJcsZCh02Koacnv1ZQx9WcTxm8DhBaqX3+ZuvaipGSQjyEE1dmgyafZ9qMQ
28OGYST60Fifm89U7+7jTNyzAMklCbhdcaPUgDN0I91ywm/DyoyesYG6Vgecsg3y82Cg49FL0O1s
M12tokfVShtDPtSJWc/vFVOO28pe05/rRfMaZohFvWIoM3MzaUi6AuYYnqYW0WUIkbLFjD82nEbb
blLKO3NkI4dYqhVzs9GdnvAvjb1DrJxx/20HRhtcmJXx2DrQCyNusmbO7C3LiRgXJrd/z052qazq
RQY9SwhVYbC/KdDVue3cJH9PBrsStAB0SZNhOqRllkB//mDDdxpF6sCt10REfZWN2htEKNtlbADP
85/z79fzjzPpv59/N9nb94/mP5x/fNXP8w8mjYD5gi3BlIwJBfuxn+ffF5PGYGlgomb82rT9fv6h
byWPA9uEhmhaJfDjj7W4pbKhw/CukV7IzPBvDQq/aNt/8qZjTFfhDqKUphLnBPzzx4SMDCbwhjVe
OmTTrtGBOB3mO6sccPc54SVX6+Q7j1iBhVN/wLiauIOusPWwxk8lElvNBJ+86Ap4Srxs6NJsnHHY
LoFEvjch65opQyYBK+3OoEncCVyVu3GAVpODVIwq673X43tzWL5FbEZcLcMGq1WGO8E43JNNetTX
rWFuUXPrTrFdMu2en0VmBB11M/aRp/UzUEibGWVAxBTKgkfs+YzM0/BH0tpnowluhTFdIoIhSCuF
1cF4SYuE2EIMGIimHm4mjexzW9fMjaUh1c/Z2AchKpOldvW650A3VqZFxYAoQk9AlEbrp8xB/H6u
dF9PA3RDGfIDPefQrIyHxqFkJ/yr13W/r1qxQesXY0yeDyzFDbcrInsTiuVJOj/QeXqNNq3bnyOV
/jM4zhi4Sjuxn8f+18/ogsyBhkJO88cgmOGqFnBxBRq4iJ5ClUMea4jLxA1xJGh/9iNse6zLGFvX
674qLJunUpHvfT+frDIlyGvxCAJk+6ce4DPeajOO6FCadzbvUMA8jz0/Nscsu24M586MxXs6LaBW
yfHdUHeTFGKNj7lmvCS2c83Zit9iKIxt1avtxpmsEzq/Bxz6BZMd8RQPSYZMCquxHjxWU3Nd9cop
bFJn02YZUANikwblodL7qyma7gB2bIF7P9McfM+IddlIRp5uU6GeXNbJoNbWn9Y834se62VtOGd+
TVdjYnnciV5gfKoVKYXaavDul21llS08I9gD5COZCYGMIrR2S2IxZi7KV70wX6j9wZnM05vRj3y+
1JoxyZoUMnQlZJrsB6SYb06jA2yBawnOm/TKmYDg7seg0K9okf4g2aaFHP2bJahvVDF2KKnxvLML
ijaNMieeEvV4YMl0YbOWPiUdb9JSIEeUETkcRq7ddWblO1W+nwmyd/y2Q+JDkFx4rfXl09S+oKfR
eeZeclbMoIfBxIfcKFjNH8t6XmNZGucQQInclFY7MW8JYgr90XD7Wk38uY/kJlaqT5as5DyyX++K
2yAKktnv8rReHgdZrsYW+LYtGIEgNe6LQK9SPM76U2wkQIPU/h63F76Q2cDFZDBpGgcvI4ST9A1n
N1dji5zMtr1ubLJjTHfi5wO5vdWov5SDTHzCR8mLjPhI493H/cKGLpZSd5U490Lbme7tajI3ZRRd
pmj5sd69cR3aHsjKrRh7jwE0ZQHsZr8Apuyl8Dszy7qeDCR1VewuTDRjWWwjWzJjtaOt2XWHGFpx
I+A6TOVNFvdbcDhYt5X2RCYkhdfQHY2oACmZThhDSKGbdRWiK8zgpLmZ6v7RSZ19oxtUL8H43prG
U1nqz7mwCMEIyP3NoCnU5I5uUU8/SbRvbL9Z+SFavB6DwdkUow5dK8quxIiUnbUMYNKVv9xJdotm
tdFqxW/09HNe6scqsZ6qOj5T2L3DYIIfmVsXswOX1ZeCMUdE5kk9orHt2LKKQH0XU3Jna8UVv7ya
+QP5q11qPeYDmvYlg3EkRzvya7iGjFUNxgcO7su09sqOh2nm0bOWlY2sHdoQbxXpI3dwcg+9ph6Z
b5+CvrtKZYZx3LE6sFomsO0BvoQe5+DBLIKsjVxd/CDtPpQIF3/p1Mm2650Yza24LgJHgVbbz3ut
QFEcBm/KnF9F6fKozFjG1Wn+DsMkuZ9XkWKDWrFaZYv5KmC0UDKOJX4tZZUdlEigYts8RageY3CO
tNwif2AvvlcK7dEC7uQGFb+NzApgYrDwsNFRCvSUVl4R5WD2uKa4HaoOdd3IqjjP+Ky1eU/ZlokQ
g0Mj1BnXdRYWPu1Iu22/mn/taxDwT0X0VRHp1JH/qyLq87f23yui9av+WBE5uGMIyljrl7/kk+Cg
ZtsocOJ8OaV/VkSG+MXgr5hCMrf8rY/8qVgi3gw4n3Tk71vVv+Gv1q1/Uwaz0gX8w6ugx0Tj9pfC
GaBugSd6Vi8yG7t0jxcROLZdp+ckyFxjaW/taPlGt8Hz3GW7MXS+AZVmuBUFG4kIwwmyahNzxDR0
Q75eNrfmUOKdE2TjABvIp4M+td7S79lHvpRhyKHPKRZeVHhnZ3QttmvKNTxUXYAAt0yvCB/7ka3x
l3NPpLAR2C/YubGm6ApY2LF7Adm2HzU99HQ53MRjp/s1ZkD+XpyWYWLWwtaIsa/Jg5w9FQrLwrwR
H3HVfo6L9sMGmYpvNY1g4E/3uT1xhE34A2blW7Pgz4NV7yUEPLrD4lwX5jyfFCO9o2seuBUQ508B
FwLVL39oP+lrkJgueFgH1VM17JrwH8D+BeR85REsc+BY30X6LJEOt9COW8GdgAHKTJzIC6yu8ThC
Z8OVKbA02mW4rl6FK/zQtHrnvKkx5Bo/npp8HxVDhJWVqAwsm7WPT7ffdGuQBs30uKHZJ1xDg/Mj
1sANXRsaPKAxxo95DeTANIEzd8ma22GN68CVWm84V3ir8A5s2jXWI1oDPvI16iOvzedyIfwDbfHo
G2sgSFnCI+rWK3Za40KCNTjEXCNEWO8bGxbmwmO97LJgKY9EKOYoeY34jDIy8dgBt6Q7D9ZuWkNK
CozvrVev0SVKpAc7Ne0/tTXWpI5q5rtr1IlK5skA5ncDixkWN9LWjVrTPcZrSApB5h/OGpvSowL3
i4qParPC5wThKqVMshtbRzGmtmv0ijLHvoN/a2eswSzp0MqdHdUf+RraItfxQL0GuVhrpAvvHNfH
GvNiE2DJZofoF/bavDdrHEyBdHmjf2XEQAtK+TgRHFPNBTkoWHk27ZpN09lKcxqZ5J7CkdAZcIHc
FWt+V9WZmc8vz4B5Iz9j7H0bg9waVTH0HX01unAB6niXOBV1FPCud0FI84bSG5UQe+1NmDfmpq6M
gXS4NScnWSNzkqInPGeN0WlQG+3HhVA0P/rK2ZnWyB1nQHjzmeEG39twFW5LCj6WoCQmdEh+m5NO
RdGI6SFT1BAqVAYRV3fSbZnVT5i9QlcsjFFL1K5ot7B/D+2LEtbfsrKgPLIdJhc5sbdDXjLPFoQP
WXPypBblTVK38euM7puKMYyu5t5Gelt1YI3727hglyqBvbtlYdUHpzc/omx4ZRi0HUObRaSjfI5J
h6GoiF+wsRwzI3tes412equYbpY36yHinHkrDn3qfJY8p8o6Vehy+0HY8qZWo2MFxWRTNOW1JYzv
mul8GzKFpLVmuukWdpx20+zLpb1nvP0IKT7wRUc9U/eNPyRzDMw5nne6tjD1LSh27Lw4jcwqGju6
CwWGACvEM9Znen2SYnmbkmSNYNL2cRkdUyu42Pp4ViYWBjM7JZ6UuNkUfNg2GIOLjcHW9T2xi+LV
TLtkH+oDc3+DaLaJguyIsJ0a2Szha8n83WklZ5boC+TY9U05Kvdm2467JE3jY1j0PMoMlv10Hm1e
EhXfzNaB7Q5nUlCO4W1OxPSm5XG57deHZxEBbdf6Q7s1sjkBlLYTeAbusrCpPFtjA88J0+/axKQh
kmyeKkOd/SWhcUt6WlsRWPNu6ufED9pY9+CcGr6zAD81G/nJYG3xUmM5oBO4CNbDuZ5cyX5a1+VC
g+2lZz7r3GCbGm28RcYhdtgYVM8QJSmK5iRXAjX1GeGJQRxrO01fXYgJrzbKeWq1EQVaVuiIQaJs
dTVxSok1mnks+J/KZpCrNzyEdKOaOyVBZ5vkNLV1iEmxyJFFckz9hmr/B0xo/G+hWPTWdv9BnL1+
1e+lDnlryLoYr7DqxDD+x+EPOI21xmDTKiACryPz34bfX7wYBkJYo+x1HSv4hr+VOlRBSDNYKCHP
FnirEJD9jVJHrlXYn8XZBlN2iKcWQjYNBCI75D8Ov7X1h1dZnSGgtuhMjb7dqMb4hD4LMWmtXKpI
kKqzxGcwV7hoZxSMM48a+n7kN5P9UfbxmVbjAUJM5hZqjdBZdyqcJAsSC31vZz19WeDz1O9H4KU5
wubNqOSerqsvrcTAEgN8wozrt1P9FlnJee76D7iu/giUt4NxtZnV6lxPxncW1ztybGKWYiCO6SH7
fVI1+8ZxTm0Swu2Q20VDpakT/AiH7crUykdrHK5HLerduTHiXbRob1nDxEqI50gMcmsFuKkrNrG7
Rs1C6AU2q1sgdnLqhq0dVKdOU/aOnvhplNwHA4tQVCyQ6itcSmjENi1kPmyUYg86X5xABmnuYo+L
pxRqgdPIujh69oObvdrNGoVbHCIMh0b30GTlZ1bBihDFCHGhTc4pWSheHBKuRHpzRpioJV1rKmcu
EhtK4nyMZFd44Zg9drIhXr6GmWyXtxEK0U1hO0d1UGBDyO5M9iXsrH5HN30bA5AjVACB3ZyPO7HY
3LEcBYpW3E5RkeNZc16SRAVlXCl4l0uLPa+eu7OpPyx5/EJmrzdmaOMQwLCKjOMrA3lPUovPtl3M
fbJMSGDifvYp5AiHC/Tbvou+RQmvP0TEu1lC4jTMytj3JpiJqtANxE79R5mkBwUH8hgido5bBuad
SthQzM8RU0tALbkaZRE9sy2/mxq04iV5cgwY+10YUmrURUfQ2kxwy8gJ59L4Op6K+2mXl/2FtKJv
Ug34vbfof1UceiKvXkA+XkFpuWpihzCiULVZZbBRNzQub4fYKWCwOojcjmAXvbwuIueqjqV1yBTo
RGEbgxMuX+qkjrGsoonrYxJsmBDgq2PYNCBfU7NhX6viRtNat5IjY0s1ODVhf2iL6rFXhl3ZFohl
yi3KRodLNEYl0A6wOVfXkplFdLFieF7q+KMdNFdJph042pmSBj94YZYXMfO/mq2bsh4Jy3GGezvN
tp041st1N5wDJd7OwjmEU3FRZXGjDcGe9K6Lgo3NG2aUcRmwkRVG0pfR4mkAhTdmwtWh5HHgYsML
WOozhin4pkUuiS4xtdwdjd4ksWL4JJqQKPBct1bXAY8qvIspwVlX2p9WMvVwymomr73j7NRCHiK1
lt6C4quhZMSniJ1w2inKFPqE5wQAAiPA0eSubhvkleEUdccySJNtPhg/etkZW7z9P0p9eK6X/jvK
zcTHY8RYUx9vZtBtLouzAfqd2fkcRwOotr7QmpMWZt2Js2dtU/AKxlNdQ+uBVyeLPDGhflemfETU
TkhjhKhj1xtzxbNUF9QN1kSgo/0V7mgXCkhTQnB0e2+wMQPirSMKuEajNvf3vwZHjk6j6Kd+6svT
KFFCPtMhacMl7ap9GQJYqRJyrQhPN7ZxLMEfUhWpTXjXIkd1CSo7GkbRbxulmXa2Yp6kNaFNtRlo
kVT7vaapAA5nMohMjOdUoeOKhmF1iS/mUS/5MKeFnW7452zMZPlaBcYbAlHN6+wEIM1Sf4LvHODk
rOOjgqAOIajSm44F/ZxO5xnS5BQ7yTatlDOR7bdK0J9yu3wd4hGxne6OE0HbrUpqU1hJ0Jn6dIxm
5BaMRx2reotT1l+rhLgj2s0n/4D4n268F1pyHbTOlZLML1mkfS6q4LuE8jMd8qdCxJ6yHLV5Yn4k
Gwr25i6ladyIiKkybFFkg5F1FmkmPGcqV1LFgZavcfGxYTxDXIbbIr82rXVuLZ3QF6BuWXWRGW3J
xYun/rwIwqUkdn/ehYpcD0KH2xJnuQ5HAMVExTw2tvyFPRx+VeWhS71Fht+0BtmtbSSBFylp4tmp
M/LDwRasA0B9cchpRJmE9D8OQclO5SWfKlD05XhV2YhibBsUT6hal3gszuA42Ozhm3CKmIlTuw/7
7s10xtmnS7qfM6X2l5yqMXC4QFA3PgY9HV8/Ft/KrDwmSspr7JfnnmBgJC347NMOoYIUmuI2ZffR
Os4jB/RWVNlVmkfdRgv1vZ6Uj/WABDS2Jhe3w6Ee9ZvBru4cWb7HXHQbwuWuDdGdIHIFOBqNYBcs
auNK0RxCmLOcumO4YaQCPCpND46c7c0QFm5ia/WulfHoxkZ7SeMe9pS1LbTuacjVfZXWEWotjQ9g
b0x+Kth5oxurPQfm646OKHItwOKeCSuoUBR1Z2ogTzreULeNsosgRHtjW92xx926qU3nyOD6MUNV
688llyBHFtjcJdwpo3rKUCy54OBI2eRJOwEeRsyEU0RpKxAOhcgPi0YxP1A7M2SvA4ii+sEw4puo
T54UsI5bpbAZMsYBB5wc90uu8UhI+0ZrhsUjbyj3zHL6XpThN13WaG6s74uhEx4r8ITS8KchwKLK
9DpsX0FePYvS3utGcz/a2klPFFcnjQwjbnTSmvEtzLNdb2kfTroc8WHdLqrFjLYT94WxHuIEO3PW
R+4/E8ZfJ4ysIP/7hPEuHj6aNv7xH2Qn6+7yZ+WtGr8Y8He0NWfjq07+feu6RnxauCINpoy/LWR/
qk4MkkCAEsArWCM/Vuz3z8Jb13+hUCe4A6nBin38e/QBZzU9/nHpauGcZcIIKNI0V7klFf4f6+5I
KwY59Lp2bsq6rqwrBdUSwe4MCducs9BI0ovTa3rq0ZSz6YzXrZY6zxy6cwcV4//ZO7PdOLIra7+K
4fsQYjgxAe3/IudM5sQkKQ43AYqiYp7nePr+DlUqUyqV/BfgBroB3xhVJVNJMjP22Wfvtb7lMKI4
tXmpMBIZlK1pZsahpU9c9HqdXaVQxm9Y7fWndhDFXlpdXhq/6XcgCOIbofXAUPLIzebNgFtBDzHf
CcdbkeQm05/KJn9iP6q67EsY0Fdo6dncrmNdQ06eZEQPo3P4ohjhdNFrK2znbgCXOhs1DAKOi7zB
KlH24SRn2pXOw8COz2naerc6I75LS6p4cKNGZuzX68TWymmLV84j4xAdEARZzc58nRdsUUVioUc9
RCYi9/p8fIY72F1Xleb0mA4rXSzY93bq0bKKiDSQsIzulGhCCVp2sW3PB90qK3ToBppksxvLp7jF
oyI6Ipcnhr8Y+SHbFOPOaQrAgVJ7o3aVa151UpZD4CAKnVSKdSB6ottRSqnhGcPMMOCiETI3Bky2
F/kkLtyEOnujSylQjiaowUCwK4gHmw5mVDZbp3TC7kKKlbYaKWQYKAI+mP0hdUklUP6DtfyKtZSi
rT+vCF8dW1X2XH0Os5+5tvjqd2VBMyQ+xP0tB+ifagzqAuE8jPzxSqNNlrfub3XB5E+Q08C2hPlm
EZb1vi4gs0Znw4ibhYaMHvgLF3Iwmj8UBuTGuL8IWsezpeqGKv/8nRrNJQa2cBHlH5WYNseUn1cH
dfHWkp/h7u3j3JRNxcVhVPiY+7H8yHt9WUd3YxRHzKHkQ5HJ54M8TZ9uDhZxdz28PULt1+fJH+iv
dRJUO6yhs/Lrk0fgHo9h/PZI8vBXPJ/N28Pq0OZxBuN65CCzVfD+/hTdpjnOJnS9kT5PyMK9CTQu
NjM9ioJVQVTulCNb24xByAbYbO2PGTfUdoaFpftYpK6Df9EspnEuMhSxRJCU2Tw2CudsxF3Bar6M
HhWzMDfC1Rqull3iocLVfGfG9jk8YP912nnq0VXNndDy5m6ubzNfTeeM2tqDqtjp0bay7pKiv4Ou
HOtiHtpZt2kVz+SOWzpPOnPIae42bj7h4WmtYUamrmnjcU3sC0ttbq5Tk4Yb4NTTS6orxiLwxVhn
81HFGgTzyzUjNKjgLeJ863RGszYr3pCallTpHpsQjS/zdVYVItLaICOHJ6BaUXm6qStmY2+QOb9x
fUbRy7Go/LWNaP26rrroCZFLfe3atU3mgKUhhkNmdwve7OgaddGfUXO09jlT/A5gS63Ctva9vC23
EEBbBq6hHj3G6AVvB7dNWmaEMou4pw1PNupbTLHiyMjiEk/bsEvtUPSvwGX8V1cmHwNy8lZJGBCJ
HMp05FqBpZ8qlc3uPawfAkMrqhPsExd5R/Mf/djXymVSRf68ct22OfGi2U9aGfl1v9csV1pDNTiH
umZ+HQf+riBTPzC5Y40KjxqjKV3J7zXLof8Br6RqjPX5v+i0IN/2pTRA/AfGfS59jishv3+hZlnm
982MY0repkpd1OBP0BhJJ+z7mqWxW0mVPE1PEzwwAy6Y6FhIDZDCJmAyuIm41LA6PQiJE2O5C5BU
W4dwxoJWwY8YISzRmagpMGu0XV8Xz3ErHr06mbPEOQyTRkqW2EwBLvpYIs0C23+sYZzR+sdLC+oZ
mjtrDpUGEJpEok1an1ylEpOWxKxlHYlOy2Gote0bTC09OxKv5krQ2oTzGxgFWDdzZUBiC7jqFRLN
VrjRQ68Ba8uhtjkmZBS9ZQoWS6Qb8ywYfEDeTAYY80mC30KJgOMOtW9gwhmw4YxxeB3FdKiF+ymB
HdePIPYJLlnnUOUsUzJn4MyZ8OYSCZ5zA/OO1NEFZfOpD6wVqQfdrNIU9imucxbQ61hdkQkQH6M+
WhWK5pEbDugusuESaZVy70oIXj4VYDKifVCxOZ7g5LHCarYZpIJZKiF68ONSEGju02CnZ9rPvWCI
eCzKazU3VikcvtHG7mC6q9YYLiOcPjY6zFsh9xlaAGdCeeiEd8/5ubJaSD1uh+XRSNJP4djeFRID
mEogoDZEx1EiAssYKDLhmota4gNLsSUfHZ4gpHzy6iRk0Ic26EnsIGFu/Xxsu5uAnQr/jAlHQgob
aIUt34aH5GYeS5Ah3ou1GUJmqhyNAIDxivwI4qIiFHGRBCHmEok4wkYMHSY0vfdZlCSzhJKemFsX
RQenyGpo70rAYitRi4GELoZVcFFgHZhRI/amBDMOZXTreNmLwwAj89LrlLkUON6PvgtYwCIOlgle
bG0KCXx0Fc9hzzT4cwbAK0NiIUPbw3EdxqsibBcT5Ehziteq6DaxzvYnawdmA4xC0cQXCyHBk6pd
POQskl2NWz4WTHZwElPJBBVrxIBwzKgrMBkM8mfTMOYzTobiMI3VXQnzEm6KMydDEA1iqGjMv9Bk
pW3WzhJomWo+JHsGpKsWjmYIT9MU5gWKRzi3JWpT0YBuphK/mUkQpztmfDJhcxYwOh1YnYbZ+7BL
piNgFjRxirZA9H5xC+fSIo7uDe7xmudt7Vhhl8mHfsZKYzVIPCjoDcGsIq5nhYSHRiUYUWUan31j
YqUpEaMJv9FZgyin6ZSFCoVUG21wpBJMiql+HU56uhzjC4o5hJd4bcGYwjZ6bjqwpkN3GydYaAbn
DEIpnjM5EnM0EKhEgaKOjpLNGjCpUqoUvCWPhGU/K2QaSWsyu8kIKOF9HXeiNpc5sTjYUnVjoSvi
VSfyJVGVw6A2oMqcMVsS7/JM1NpmLBq071Y68nbR1zCb4DZW5ehVS/IvbCKAy5rgc0/3iTEzoKT1
HRLXnvSlGf/9i54gxRjNxCO9jTW2kyiXslVf65SPhLDScJfb9l1Rlcc6wQuK0uUVadXJxuReR+jk
8E6LZdZjRbY0rAHqVO09TV0jzOPd5jd+heYjY0TIp6ltskeBl2mVK9RgP3Tw9neVAB3pbzyG0Jtc
G59LK0SUQmkUMZNtnHEknYnD1ASnWsrcuG2xywmNG+x3gMhFfi5rlbQlcVtM1Mpcu9H8Up/nE55p
NbeffeA0iPHJhRThog9pE021vcOPrM25TUl9BqPMyuRDDTv6sbOmx6opL0Et/I2fKMi2tHaZUuDI
U2pvCgfuQBXz/hoKgE+jAsRie0zj0+qTDH9GYz/PA/dEoVszdEpnuqhvR6//GOvNfVU6xiKJ23vh
TupG00mCR58NyLyOOixG5I5z00Y06ZfjLNEMlCXRTWYZ66kgatCLtcc+pmt2k2hlIkQFVYMExCgs
bOP6x8667uvd5D304ZUIjOuMjTdA+o+Rkt6FRspbkzVrbOKIY3OWAYlWb9TIetUo9EttcM9daPFo
Q9feKAguZjaAl2Vih1zwhVggL9iTb3PpXH1j05zPBlA206hJPutVkI8TG6T23m4Y06plsyubowyk
bEyYAr7tnwUD9wUM+3Cto4mdm1V4r43TOkkq0oUVyj9euoOLeWTVIZ1bYeuPZpNmgI0r0JaYXrrs
C39nSkFxjeBywsrruyWTPgNyzZC/OtBNDn3WIGBAGGPa9xGQsTUGOJz+TTmNRy0gwSWoeZ/tkQWR
7zTkVTP0p37tvGZyT5pRsc2YlGlD2pHY4nk+JlXgOM9M5Mf1NMAZCApE5BwehGOV/io1tQMRqVuq
0c4irJ64YuQtoHwWSiWQqdoFFaIryS2qlU1QiqMQtb8hRfrVGNVXXKKfOHJYIQYDGltlkTr2Qges
ZJCpMqsNLV/EQ/JCdnwGLChY68SwAndhtZ751kMwpB13fRLj+xJdpVbDv9BRfnYkwZPOAYuGHM5P
rGE04cnIq42i9PqR9JeTUTCODsmTmTPXvuPXzymuJa/FEO06wGmrgjzSqrbWkVPXC9Ows1U2qDE7
SuDDYUKAvFb2D1mDXHZIbkwxLqzEvAN9cR7LqIEJFG97Ya2qMGHiq6WMu4eV1hQwDsQLxfXcuH02
x46Jc98qLyAxVhQ49AFCjre1mgUXcnYb9GJmMcrGyHqy3Qp2ghe0WAbjcVkNqHWp+wnDJ2LRKgtK
wYA6qLBwcIa5/jxhUkQj2q/tEFOP5lhHmtyHqir2g53YiDiVpYZnEkEqFMdo1fX6pSq7K57cjQ0h
DCd7cFdMtdznEG6pcdTG2j70CO5J8nuz0B56L5ayF/u+RhyfD3Y370MXpY+CoNg1/Y/pqMLCgVQ3
hbtKVIfB91dFr8cLyPdQKAvOaMW6a4vuMA3IibLwUyLMXRkzoqqNcc/iut2M1dgss8E6pAQZocqj
ECrBWjVDawGPdxPn+r5Xp6u2MgyCx4m8tCbyhvo0PRueOoE0cZSZ0rN+QcnEJbKFHtYDXJuZaTbO
ixqgnjNVmxr5+KJSo092Tw/jDO3ZLmpj7UKnXuOQqvdpWY2ErPdXSQRBOoe1GCeesnbfcnL1t8xc
MjPJz8UUtbOQmqzxlG1dui1u1m+Ju9Nb+u5/RstfR8vcXf78OiYHSYvw1f/ZDIkv/P0+Zn1QHQ0J
1Vc8nqS/f7uPMUNChupwEaNQWm/Q228zJOMDOZCSCfRPKNC3+5j+gVuPYeBBFOSX/EX0z88cjcLQ
DccwbBSzLHqk4/HdDImHMmDd0hgHHk3kXGZcMv2dt5YZ79KQWYI+17rJ5oYh1EIntSsbp5sWK4qP
Nn5vtJH9HAcyaw98l1o+ccfQtHOv1ZT9qAMSO6u7zD2lQDN3vtEm4bZsRv0WeYlibrVarZSZ6yrN
KfUMbxePlkqMXhxH2k1ou4m4YnqU1C8uJbY/VAaXrWuYQesOuvur15UoUbOwhaUjcPSsVTk2dd8m
qE05NluR6OztiK6LkaJLS+YkbG4cdhmoV7q0bFZlGbmwU2HmBYNbzquyapatOoZXZjOCWvc45GeR
67nPbc2iH5m9h1Kfizf3iyxoz4EOS3bMnuzYf4ksECe2oElmf/xaNOmr5eYa3p60FJ/7hlOAIqSX
fr/NJtVcNayvnnrLt2adrsIo6ONWo3no0eNhFrrXFBzJLgG+nDdWt6mNTN8GihfsSQqQioEKx07Z
DkzDi3ItJEeNNVXDvS2jkDpIIVGkIVfAOMWbWywsfHx1X3sLp0mvnBacqulVNvnE5rSNBcU61F1M
825AjS7TWYW0ZGaMToR3E9OincWLwnFfHREopGVPm0SDWMLQe00T1bBiI9jW9+gYazE8iIDsqLif
OtoVc51rLuTRZiBou+qPsTE0czVAEukmkg5v2uYyUgr9BKYwvsEaa1yIUcleI1VUqFbC7D7qBDaQ
sPycjV109Z+q9bVqIRv7ddVaYcR+CeuXn1Uuvvhb5SLdSXc0fNiqaTNQ+iHdSYP1iR6f9Rcy+3eT
JHIzdNcWrDp+/6pvlYtJErFPxNprANDAjP6l6fePTmyII1QsRuim/EtRLn9ft8xEVZ3Iq6bT1NyX
Djf0b2PGP02GkX/DP9duv02qAJKDN3EZrr9xSd5VRrgBVjEUhnaqBwWjEB0+K3vzc9dt3r0BYHdG
P8/+lrXpOUelW//j79//JH98HTkxe/c6OY0KAE4TB4EMTKv2vf351y8gp3e//Ekk/u3dK/gowEkK
4ifRB3vWiTsbATDgA1dhb9gtsVbM6+6xaDdteG4YdmjhK5N53z/r+XWTgSUt6NkZRPnwKrlXies2
uunTYDEwrPj1dypPw19+p3yw3n+n3Mc9HGLyd2GAAGc/V9y3HaJnTZx6LGsM8XCWfrEVPBb8o2OF
819/AxJb84dvAIOrabG0FOxVfrBzZPj1m061xxMVB4S75lYoKWjV0AkXzIfmLmjYdhs5zq5CgGa2
/UXDAMXYnGjITlWmeWUS9a4X7CTJy1V3vdsgaE9SYkmMXe+pNeQjJdLuBiON1kbsRoyDmHNlZIwR
Dbkt8FvoXUmPPkIsG5EhnjorXKY+7jEWuK01rSuuhql+9qZo5bUPkgbv17fQUw9Gk5Awai06DNs6
qWakHs3tCdlvVCxi8zYvED1ZXFgmdp3hqBHY1e5tVd7kNmP5UKMLGhWDfju70hpxHUWHiLClLkMa
mZrJrDAmY5m7t42wFqQpcLojHDZDXyxEiJJTddA153HyiB1/lqZY112TxLTYF1+Tjv70qfyjCvX7
B1/88LjQ3NdRM9TTSV0bG2877Zt7Y+1sqxNq1H2z4RxfkqU8H1fGfMc5ssoXw6OyjVfNWl1bB4KI
D//iI/OTT4z6rkwwi3//kRVJ0tqp/Mjm8ZYkr6xfVLBpV6X6devxpz/4zz6Z71/nh4LHjXpKAsZ9
JyY3ye3wufS5N86xyrDU+vVP9JY49GPle/8Q/DCjd3liKsMN9VMA8fEcD4zOACHP+prd1Nw/sVP/
9Qv+rAJC/WCZyZaBZviHtzTF5mTbiaGfepir2fSpU86/foGfFcD3L/DD745LHSs9X9dPdbeQtqie
scXwW7jHn75B/+pFfqiy7uBapFHzIm53NZW7xrrVradf/xw/O5Le/xw/lMeRsxoIhamfdJ7tIcG6
ZF3c6OjCeH17oX+3Sv8QvlR5nX9p/kv+zS95MVZEwDf/7/t/rb/+u/+aL56b5+/+ZZnR0I7X7Ws1
Xl7rNuFLv/6+5f/z//cP/wbjjL/ldixe//H3589pmMEUbarwpeF4+fpn28//+PtvOzb+25+3R7dt
8ly9/vyrvvVFXNuI9FDZl+mmzHvl6fj9Roe5EK29g4qdqfN3GzbrA+0K1zmudd8U/N/6IvMD2zW8
NbRSEBUg1fyVDZvu/CjT54UJu8Rtzf9qDn3Y9wXJ90q1zFA4H/HCE6EUtk/ViBo3jht7pnbJYqwS
KXwGY5h7h7CC0GpqPUadrDundb61XU+hz9FZNEFSr5XwCpHcYbTZLuR6eEP+xucOseicJEYWKUqP
y7bXDxiKkBaolj9P6+LEjOq+n6wnvRYPzObghJEqtPIwms1cZVolBCnBXg84p7gA4sLhQCqij6aT
PRVjftcF+MLyhpmPZ1kfK4Qx2ZDdN65yD3P8CjHNyTDCQxcH+yYPn+rcSdlB22cUuNAAfGeZ8oPN
xoQbiq4TcqHlj8yARtbrBkYDqOfsS/oNt627US+qJVqnlRBTs9AjDNmiDxM2h87nMgCX6CTWvm6S
2z4DBe9A7jRj55KH7ueyds8hoAXG+TIy1I+apdf3R6foHsgnefGa/NErKTd59kITS2B9XPnLlon8
pmad5hcww9g2ish/SnSobEXiFIseNMSsL/KXXnPRN8LYSkeWIYVMRhrBRK7Csqvm3OH3TR3vSuHt
ySRbTGFRrca8X6lVv/MJhPZ18wKgErNc9MrBdGsQGoPC6CH1p3Sh2nyTvEmuWpmzvgfkyyCznOlD
aWE8rQ+BO3xJIpfZNhD7XPXUeVtRk1NVvxe+eRENUF8njG+Fr39pdavbjlCHkIa27Qp9w0OqtJs6
D4oZXTvBjkDm8YpHa8tKHsHLxyv6oqMemCqOVzshLIIViyoUOaZcqTarD/KB1mUTgI2PC5AWBe8a
dL1+rpPP0gpk/yW8cgug8Nqri6vQS0uyxmN/UUXeyBRyutiJibnJXLWlKHHfsmwDgyCB6oM2cxjq
L5KWT5xpcwA4Ex/iseY9TPXCX/bVdJP7zDnazFn5Xrfy1PZmcoxd2OPEsHVcaHXp+Qs/ieCCtPFL
kw8PDnI5brrFJ1XL8avlHob1YZj1arhBUQZ2VAk2KhiHhWLH2VxV87U1qmtN5eDGGwkDPehHgKjO
axqVe6TD3QzVa0FGTrO1/HFkj0wEjp8OQBwA7usVF5CGdYRlNJ9qOURUK82CAl9M53Sw9CuRscIZ
TMP1t4nuBsYijvt73YmrblkpdRB+5NfgNSe9sf1+aYWmsbK8VM1ubQpzDnivYNVMw1sHcwQ69pmJ
Q2gxSA6Ds1EO/mNIflad8BGayWv+sahrjBBWSyLYgFjW3wS2698EparAczKHazVRcCuXIdw6uzNY
pmETXQwO/N5tC0KLnW84vE1GWAsv6pGA0z65znNrKJnlGPpD3KsqyIOsAG6HUE5bDJb9ovrgdOdE
J1S4iXsvdyVnQJgl2wPd9m/Vxk7qR93rfNTaBkE1sPFSy3uKzZCFlQpnV5kl7sBK6H/kvFy/5keQ
nPX35+P/5uNSttd/flzewA8Ox7z944Epv+7bgSnJRXB0ALChl9M55/55YOrGBwYLTEe5xKOgfSdJ
ESSVAFkzVSQCDvnlnIrfJCn42t6EKA4KEmgyiHD/yoEJl/S7Dp5Bq8AMbeNwR6oLW86iQ3jfwROT
WVOfrfw8VCr69U7wAccyPJtEz2eaTUg3sqyGwKhy8JjqlZqkeLaYr8dbiKT5Q0jg34HSNbAwMMqb
CF3+xhza+tjHXvG5aLx0bSfE6wSJDfTXByE3L1ylN2YpHqtzXaXNqYwi8aioVrPSPJTFc4TqlPbM
y44xhwW2++AyDol58jVN2el+0K8nxrV3jTOaj4T6ojSnBh+aOrC3cZshyrJbJV5pJiBQo1Ub0oRr
/TU32+TBVJNs45s1cdWFVz93QKiWAJ/DpV25LGki9L5t0BXXfZQtExDOKz/0i0UH8hkQppKJ7iWv
/UBcaZk3jcOqyeN2rb1FrwvfjYIjOOK25HZeZ9XJDnBj2b42BDdBxE6GwK0aVz8af3kM4UQn6oks
okHgne4dm3tNV/TKgt4jCa8shcX7jPnu+Cnq9BKkOoB1t/SGR6tPjGcUjWY+w/qRrfzAMncjzJ2b
ps8nZAgmLX6mhypucjytoY9l3Ss6/xOfpHCuZtP07NXB9GqFw0OllKvMD3eKpAClGpah3oTlrBS9
z4mhteM6RiCAo6AZ93E+FAuzcUn1GtIccnzY++GqThvWK2WX4luLy3thh8k2cbU7A//DplBYHAcy
X9MkEgVyQW3dOEGRbhulce+g4VtHRs/qItWlwkhvzPzWq1UqSJe4nxSOqR2p5cR1DumJ8bayqJpu
WHeKUg8kGZZlsxi8sGAektfbsfAySAuOpJ7SevnYCpCT2NHdgGtqbxOBeKjxXz1qHmTQfgJRXsdT
/ji1g3LFh5c8GRsReORX3oMzpf1dxgpu2eZDeKOEQ3EOOoAvGbpXEkSF6Ah3rSHxdYgVG/yYZr3w
6TLRmLJ/RuCMu8FiZZDA8R5643q0Koc2Kbe0V/LGplUZqkCgsE4Ae3fM/5m7y/+9Wmz8Ei8n91GH
5+b1Z1Pd94Q56qqjCQBz9pvbgT/6dnth4AsUBfGf7Rown99rmu0PSDgQAdK3cYPhiv57MTbsD4yC
GZSZ/6apLrHKDpBPghtt/UdFc932bZlaY39S83Pli+UItOvdAXX+47SV7/SHAR+abOB6SJfI4jDF
D1dokAix0dpte6pFtAtt3D8n17yuxUbzzjiAa23569fjDPkXryi/o3fTV52kgBDlcnuKgJrNnNFv
3Bkx57qUleT1dV/lzq5rSK2xYuhUtbWyIhglFDrPBL/V2BCnM+tpYEi9tQzUPmNZiAUSA5hPToAE
DUyLg6qpqFR4Y/EXd1AesolptKYL4MgAyHimJb4MToWBxYpQBQWIGWV9I2JrjTgyXJncauFjIvLx
xiEjGi5El1HBV2BbVYGApgb0ZCa34cXpOix0Bnm/YbdXSo93Cdlf6gEuw3G6QFcyG63+2iOKauaR
5JTn2rkDT4WUfpupqE/iyL/KQcSh1rmrAGjMuuypm4zzYAebzp7qpdbU67CBO1I4u4A71iywuN0o
RUXTH4yHvLWnG7tBdI5CCJX1TQ6Lgm4bgQABipvSCpTmenqb1bZphUQzYQTZgK06wp9BJV43E4I3
o4RX7+wt9oqKSPcEUGyHmB2j6x0VNT4iSbkH7EyLioJ5RuuyqvTwRZjqZ3JyzWVvisNQCDpyY9HF
xb7x+mXbjltENWcVEmDmlYi7xz387n3rVPmimVIVYUB/VXfqfUnwmBCEjKTZdGcmjFERl8XHsM3O
WdwQusSqbIp3ao6GdCiQQMQN18BywKAGXha/JrbROrLv2KQSQaGo/kpPi3bbtn0DHUKHOBSW4554
ZHNV4z9L0s80GycROJe6rTT0ccShBUG10op05yXhuc2Um74DjkZ6wAwF4JJc7ZmdNp/tgC2iZkXX
OtcFt01bsGzagtw2BsDjNXHDyL5ZWVi9WPdVt1JZ/TUWREdNXeR5fkOg9jn1yhKzKJSMJom7yzAG
FzxK2wpkm1M4D5AAyEA0q9tCxVQahdWXDM4iliTQF/i4J4bbgtgqWHmvau9fZfiMS0FaIBVsq+PX
nTMIWFpKj67QPwdhdxBmRGxSuh5UE60UwZaDd1XX+aYyiSHgjo+W8Ej03EInH0E1rOuRdBLiVziN
DOGtAJZ/FFUNWFJJwekQ3IIedtzEPYFlVQLOG00Vm1FlF9fTLQp70PBJg4wnv4k6ID4RmaEtHPN5
6+jPbhs9o9I45GVC5jpitXlPTjgYGwYmptc5m7cy8+8e2P3fO/Rk3/+LCwiZd89/mzO0e/7JHYQv
fXcHweurYbxhLPbGQX1/7BGxhBbdMJFASIH777J4+wPmH0vuLMUbfoyR7rehnfUB4YahuxbQi6+J
xd9Gl78dQkw9/3R0DKT1u0OC48ghkICLEDZEWB7AEb4/JGzN1xDfmflJd/DcQ2RAd9GPI1koOKD1
wde26JxWiTFuszTDiONmwWNKIk9KcoZDoAf24KONtyMyldOkwOYRSE+RCeX7RMb78Gh9HMn7cVxi
hJ1akvuVZtmN8a1VecQdNhPNq0/XnEf29YAyDCftFBXqMnEsFVWl2atoEtUjiXndAqx6tw4I8pzH
jOxmmdog+NZcoDfoyjV/XGiOv5w8ho8MJ0lFtvp0oXjiOIxky40jhCBoeuYiGJph0XXqXac1CxvW
ZK839aJxRSyzGaqZWZkvFj8nKaT8vaUr81k7QgDUoWcTmEUvLukLy9EjsLZFc41iNdhSc7xtUlAZ
1HRY5hlTLPTqyZVpKv3eC1FxQCrM5qKK7pA6wOpOMOJzhJ3IL8BvDcaon0hMsdrbKiwhRsTlnWX7
p6LUCK4x+r0YAE5iIG7JrMraRaYkUsmllnNUccjiyvZQFLAH4jFPVlOnQPI3d2amf0yjjkG93GD2
7M6mXtvYBlF9Yxx+7jTj4GfTEQUzalwmxOB4qoekISWpRS8MsXvfBg4uAxWyt08OrzKho8hj9p91
HhmzoomQsOrWllnMdeyNcBf6uofd4C9LkTorsn9fSh0Zn67WRx0kiSgVRnspiYDhibbkyiD8d56K
Gn08nxkuw+cytJqZE/OrUZF/LoULCz/z53XUrsvSONhmwDrNzZV5iYEbPUq2gBOwriKFXVFeHyY0
RLx7ROe1jnXRLf3gFkm+rMZumItU2HM9zoqZgUx6loiGpVKs2kgEvWXNJnMgTXDVRdnBF97TWHbj
KlGctV8bFlcv9aMoERlhCFhoWEHGsrEYR/rXsL322pAuJn84Mpr9TMYvmV9dze+wtrbMoJDCW+a+
aetTmNelwpjJTqZXrtTxxk5TtDbFR+hpJTQ6ggQJDjxkbVzsosZ9zGP10pjVZ6cYUQjB8J78Ff0Y
2Uv9zm2UVaXqV3kSHMM83w0RiskcqWUWxwtSMwlx8Np+a3nml8lSWjqxnqThsPVs7kZZN93o1nTw
SzobLQl7btp0O71h8bpiXSTEk8l+aKQx6mmQKvOxlv1S2rp3GSc1iaFXlRwJpo257WmxfMaA7aRv
PCANaMfba4od2GMG20QGzpQQrrhHw2bUzR67Y46KvSEpPLwA/JEhKTcT3F2oVHR9gez/9IoMQZHa
2dr1NRog2ScaNIzwyf1NKXtIXXaTuewrlZZPTlZouP5k15nSfjq0obbIvuS0pansT+HDf5zQjJka
89RB9rCm7GbVyrNndlR8cnDc7cl6PeBJoEyo6jnNAcq0dqmd4GC9MjQYlurUv7Y1/OjUGi7A/4qt
kXVPWp6uSqE+jKF9AG+8cmvUCSkd89wRtYC+5d9nmNwQJnGGO+O68/KFWlRnN0yuVOTDyEs74ua8
Y2TDegmteJMTbrpDo3bnkMHOK4PKcMWtppr6OjCZFEylVpBnFg3LUtEPA4/B2c7dCw3pZkhESPBZ
B9gNV5GOWB0drIHD2W4W/Kzon+NazN0QhFEJQrcZ8YBYSbLESPjFd1/Cwr7UjXGJ+Z1wDmhz3c8S
uifnzCR8pQYQjb0uFrPCsyFlT/h6+i5aB2UJzCRKuFk0JGry1zkOPFfT9HeJ6R8DMqnw94XdlVC0
bMkbOm5MfbjIrGgtLYKFT149lKBs4w6lw2Nb+Vvi7ueegp3PuAqQL+KFtJ9IYAu3lGNwLMRN+2JY
KUF5o4dgrTGYzBnEtMuBOJeZ69cvsU6uqYKAtTJtRK9lSbg5UWm6Xty05rDHvR4RCVKuW5wdZlwc
+7xItoXWn/xmuKhjvlQ8Y1xhf73KS3ejaEp/G0xju+pb/TV2W6Ztto3ZxgYeLLPm/tNPvcnDxC/3
nwwRZD+FPPAn7RRf+a6dMjGcmsi/6IDeXHzvpggGiDAHZzIEBMvmq76pWm0EZVDKXNemx/k67X3X
TtEEAVGUEtQ3hP0P7dOv2im23X9sp5CmARKlp7Plt/J9O8UKMydYwpGbyDAHhmBVsNNJEUpYJIaV
ASI84ipU6wT7JKyiyPlttqWpfek4GGe4E/tdjyYWVz/Al0ZtN34OlYjfB/FI3LvzrCX5EExLZEef
eg+3lYYalZssoTwJlPOlnZoOqdCjew7K9M6s8L0AXWFFFU/7MR7vfL+B4Rzee5FxyzGcnWyZioj5
oQcZRQqFOmjhLiU80RMAOWPXveY0ZurIJx+Nfrvyicm4zXgqmPJcRcUwrtQhWzIVvNConAb5IIGS
OXY8Wb4o16Z81DqeuZRJcSAfwmrMD7V8LP3GWMeqG0Cxr19G+egCme2WtnycDZ5rPyxviOBZMaQ1
IU7Ad6uqcNtRCzQtsLna9cfOl3TMyd96b7VjALcqq8kQA9xPKhlONV28t4oja48tq1ASgsJKKUwE
2u5cWamATC0nSlcka1goqxklad3L+lbKSqfImqfJ6tcSntFSDg1ZFw0KJDA6BGqUzIjSmdef/5u9
8+ptY9my8F85mPcWOoeHGWCYlZOD5JcGLcmdc+5fP19Rko8C7Tu+FDAc4PA+XBzJKpLVVTuuvZaK
IbVYrhGWNRA21leqtd+kOipT2F8dQxwKi6wJ26xB3sB4OuAnYbcZAVnZGHLQXwwxJQpscth4WVj7
QNh9ymDqEk6IT7rwCVHrzGycRC68BbEQGgT4DxNHIguPgrrzwsXFVFl9QatqVsfQN+KCMuGLFCP4
6gjvlAo/5QqP5eC6RlzYUAw3Ki6NEOGbLnxcorVXBDMk47g/3rmf9zjEVnhG5MHoiirDRSi8pov7
dIQfbbXyuyI8a10q6mEgCkg+JHPzwmIafT6kFeoL48IQBacybPMzr5Wso1yUo/pNZcraVKm0HMwZ
miEEP3Z31BraxHYt6Lj6lZj+HgwNuTC3vHV0pBD1IaWelPMW8LnmDcrD3VAxeMoW2wwqSIk/ftby
jHlfdeimWm5d24V5XCvDQ+wX0UyJjKvY9b1jc2yhQGppE3czxaEJEZmMTKSVfx+OuXNYZ9Y9YCFk
W2jnQnngVEhUVpd1kbHF5alLVWdmlV3OgBxBLWLNTJbqc2YjdU64jeprP/AXPcrkUGAOi1BxYddz
L+JyaGAtr+Xz1m+Qcm7AVbljfFyoqTwfZbOAqIlBIqVFmS096kKV6X1XvQ3hZp2YkMmf+Lokn2pA
Fx9k2Y0+ZbKer+LWHpi4jX1YOP/xTo/eieLpb7L94KHcmujzVz89k1BQgbUD5WRDpdVNDeCnZ0Lo
kJF4NJxQRCFzf5HoOweQddj0AJ8akSz47JkQV3EUatIWNVBV/8P59y1qhjpiitSecUyIsgBdfu2Z
Rs1PfDULaCUyL0zlbwznpvIt8+7h0BkNMsTSTE8CuxU8Pg5jRTk/L5HpYFrwvEHFyLS9q7hpvsGr
OIUAuV9WkX+TlsYSZqArLbVPc4fsq7JuARox9dNDYWNFx7VhVeBEqYKpHvPXffoJHCtCyY4MDAMc
xkwO8ltmL2FOU48NBqsRuViPYq4vHG9UXSqmSV9DLEns2IfWNGLCtaJSPwnT8UbxrFWHftFUj2pR
xr1F/PXzaGcnTljcQFOQoKGm/pDgMCvK5kuEkjGUPcaidKTFaI0XjJFZEFLnS8bomylEiWR0tTnR
XPjrLLc7rANSFQnKMQ8yaqsg46papDIS+0vRQTOaI2p7yCi5AhpAPw7lGNm7TloxF46/QFcGIo9h
men9ocpweJebV13eXCFRX36OjWEd57gHE9k4z5e/yolxTD+XGQ65PwWBAkLGs6S5EaYrpo5DFJma
Y4YGDxntyOhw0nNU7is4iT23+TxQIkGbinYjrJ7fIhmdjJhUObb0B83CFziG8nlDmtLJOrPNFBvr
yvOYC25NvP2wCqthadvdPKdP3FTsmefF+qwbvNCEyQAqlPKs7ms0x1wrzJa1Qap4DPppoEmdy/Vh
ZlNyqS2H2otaM2dXZHIJC+OGAb2qBBt63BYdJQJDrWFck+FL7zfc6TQeyxmujxSAHAISPMRSmgLv
APV6KjjYKdyoM41xNwJ3GNq1Tp51Y3VnCu52Jyp+iCAMIk6SccHvbgmmd8+IrqwRSgFLs84kX7Wn
tZqzhgxDguTfxL1+mwrm+LZvr/EUMLMLVnm9MO5DaOYhAHwYa0qlLQT0nqlzFKCklwU3fVSpx6Vg
q0emRJsz+IIcj2Cyd6KV7pe3dmTUC/SS47kB7f1Qk/PkugmqyOruqYRTzY1BqgwJLKCpYM6XBYd+
7ElnHj30WQq5ftqH9zp8+wa8+yoVD+K1YzNNl2GWX7YaTLMwXH7OdQa6Tbj7Y+gwmfkhxpLNr66Y
TDL4ia10X72xuAzg/x90qTrpqtvUMCqkUaTsGB6eMZixFJAZK5pJtCtwIBBsSn6FblsP/qjjiYd+
cYWKp3cY+Qwjm+nZWOZHfZr/gIoMVWK9ZR6hGKLy7h+/8uhXqNz+xq9khEnbCsj81U+/oh5A2YTh
xq+gI/hmGsbgDNqQsz3Txz1nPPYBXghuXMrHorKrvyggo5KLQ2EtTCAoTVAnf5DxwCn6KuPZTJE4
gh8aJLqt2ZYqQC4vuoxU1OI8kkP5XNUM1NoNBkrpjpjNXRk281YHsyAnbrRivgLiRsX54tYtsi1w
AlMksL7XSXxtJZ1DkVCdNXUtU98MvjeSfFi1xQny9R6DDWjbA0FEOaWtF5GmfOus3ltWalcdJ0Vx
WLRACMbgXKulw8R3TitEB5WyohvihhTWBngqrcpepQH5OiAPC7GGujMzMHLjRWQ2kGAE3RWDFrdw
cErcvPRyiGCoyHLpk+RTS3TbEFx9EADOMxmAvYmD4VvngSgNjfCqKkN5UhbVFOm/40QuSM2QSh2y
TD2Vc/3cp6Q3kRUGCmmztmlzbFfufe50xwEQbRUC4ku9hwvBS93TTofSg/zqllhujtVQ1uRKQm/X
no1V+SVQ5XsPzmlciVZMqdt87i3pHp4IvghKsFFknw6x588VvoMrR6fBmK+rMKsWrQtnSofjmfpq
YSxTKETc3ofLzk4+A904p/X9LTFrfJ2lnvR2saz1KJs4SYLML4ONNgJSuJzzSKWGDtJx1XSKjBC5
8yU04WDpjFN0g5dybbfTyg4v04S2WZv2J3Y1YoBseQ51yk3go6gElgb/gMhUUYFGAhV8Y4zdMdrH
8GtUyY/MLk9VRfNQ5CE983EMaW3O4Uiup0qtrioXe1cV3ic1LlGvpMIDR6dz1JlgA2HQuk8969pz
hyXqF/2cAt7RkKmbZu8D7ILCktHdrr/ys1WakYfqrU0JUQ2qiR/WF7BbxydOn3wyTzJF0O5Y8G4S
pwHlc/2Z1VQ/CEtWoVUuzRb6UCZrvAX/8FRpinmeNVDFRm07aaXqWmnLJbyBt/qgUL6E3Cq3Dai/
wbvWWQbbWZowxOQPi6KKFno9xtMR/q3Bh1JER36A+KYkjorBNyYuE6mDtlS97Dgy9EXs0BONUJPV
o+4o9Otw6pfDWcnsJO3P45o6AswrgTXcNeipffXTWrCBOYmNw0itK1WIWngTGxjipUygdoUAAG5D
6YNFrcmLSPLRXVHdH5HXP7iGIyMKAlO6XFhHVtp/qczyex2Brsqz7NLynKXkR5eQwBzaNoKXmunM
8h5aMs2CuiKWy4Vt1GeKFut8uZzMj1xI68NVVvf6HI6UDtoKa5yGbUXAg/IReNaFZg5rgKSzou+/
oZY0l53hMw/an9ihBNRXOkkLf+lHEDHREjDR6/PCeAanzSpMhkVko+nRAwSAywglvvqrUpQz3xi8
mZr0izYBAaQFIJGCgqpnBJtAby07euxJnvBAvtRoWg59A/cMkUHSHDIKhuh1as2GpJr5gXOThCEt
j9I/aSG9owIbOIs+MZsJ8h0rMFRnRDl3Fb1ouYZ9sbfQeNCdmZYPp2g/H0LuyFySinqH2nU8WwN0
AgNvVXnXlO05yfOsCvVPcuBBYDyUJ2NkAawl3NUjbqEM13uB8MkCQeBro3EfChiHgMcD4wJvPq2s
dkUQ3E+lAoCBllww898iSxVMwoA6kI3kqK83p52VHvdSCs1shDKQZ9/GGio0pr2iMkFBRl46VnPB
vO9XWc0PXWqrkPNZ8yiMsX99KkGpkF1pjVNPg7E812WCRy9cCUh9HrRnrjl+ghR6Uqj1pas2R2XR
TsyCeL8nJhxHiGDMcq5JyiHE0e0MXPqIFdYWjlEfA4hb2AD7pg7ZapHLgoMKbgu1+aYFcPOALNQO
FThDFGTHc8+7VEb7xLER3BtH6MTNsTuSzQgVZYoAUe6ROkiBc6h5RoOOS3+hxdIiiocL1bF/oA4C
bXg+qyDlrkpbgvgaMr+O+e+hzi9qy/7MtII/TQyjmfaJ4aCMq8Y3EfJKMy9vf4RVc+z38pe4SYlk
sxPfAVfQlMEVXQ/Y5csfhjeAw1DyM7/vF0U4fo4UdZwYbfQFCzyvUuOylFzA5bJzK5nl177oj5lj
RIGgSSxKEsSpin+sRt7U74FaAjjQa9GG04dDt6AUAcqgGPQVciLRlzZGqHamwN6/kMa6m9q9PY/l
4FA1INHLuwSkc+bf663WzGDzgtYKYixnHM+VMtHmhAsAyVVlAaF4OHE11AprwOhOHZ3CkIK5BIQz
o4j2NQvViwzxP3AS6JJnSOv51R0pLjVJ0Z4YziuTKXAV+1VaML+mRvq5H6QveZ99igPC3y7VZnlM
98sGUtVGTK7row0wI6dj2ITNZQnV/dyggLbSUxmZbJqjKHQrWus/Tlv/ssGtvp5corTLCDGQMtU0
EGgG2vWmIAsLo6IPMAeeK9fJ5MZYtBfFlC7O1Fl/uqpOs6Ngnk3rVXACfH/mr7KFfwSgPDz1l/8E
uI8BLsWM3wS4hGwP5ZaSPn/1M8AFpa3oCuGhJlglxBDxi8KJQ8TpMJoEilsVsedzgCukZwmGoa+g
CbCZ6f5ZOLEPLPDUzNEyIS7GxP8owH0/1gSdqq7CaUgNRiYkfTvW1KoQixeSM5xTwqkWshSn84oe
UjSJNNstSNzD3pgUrSERPLppftp1zTUZ/dKwI7A/JYW6wJeNkz7tiwlcpoAGKv1IZ459Gg9atVCV
2jkDaZat+rbIL1UdzIGp1xLkgJ6BvE924yDJOpUM+S6l10gterxMAgY+3S6LZ1LeUoz2rHPYzNpp
mrWCGN+KpkHWUUOxPfqYFGER1VEvIw0umjYBAZUA8JNL31hJFkMjcK9XhwrobRvV6NSYBnl0xXzX
QxcV1xlVgTzpaGLIpnQYwnjPqE9M1FI7+bncEMOq6pWD1564hEPgPruZrjazSvT33M45ZdR5Umhq
POm99lKOxi9Jk3+mPHPMFNI3oFfLME/4sGOnTlM7PNENgXcnphxz+3500LhFF62Y2mp7PFhZNgXc
V0ylpk7A5iGXpbp3EQBzIM7ZwsXQWlJxCkblJgzoh1haDsGRn5Tzzhi+j4F6RlWG/4B/PvC9mCRc
K+yLSrMp06BIhYvxhaaujCJaAXLOVsp5mWdL1eoXMgB1Va6PG+GJy/FhtIGtG1Z7nPYGYpSlZQNK
Bv+QNoyO6QmE0gy35VCnEqx0qv41b+LTRqJgUOj5vO1Vg6mTB9cy57Qk66nqeoLO40djednMiox0
VusjvSO5jmkqM3BdDoj+mkirgvBATWVc2wWyfgrCM1M/zsxpCT+c0OA4bGHAD8PsspETGHXNvIO/
jSZzAYNAUk59LV02ignLrve1TnNnUicVUrd1PGslKPJt+PAndkVhPog8cDEDvGRWnGIfk4ohcI94
NCicLzCzXqDbXkAjZx67nU0Rp6j6GYWhNRR0Hlq72drqUUeAvCBgis+FR6sm8kWjMJrnng5sQG1k
ciJoIHud8XI0n64tl6ksRPfUlZokpzU8hdMmRYPX7UeJ1M8CWqLrx3i+S1Pxb1NLcyEcTOy5UZkn
iamu4DCvURhwzvsUtqpYUhlA95VD2QNfZ+bQoRidi8ZU3J9nEJEjWFBSAIvu8ERfw0T7ng/dRagj
daN4yQNG6qxUCcfKzj6DPFKeM3QPFrVK2xNnqC60XLsPRSWmyn2IJYfvXeic9Wp6HUASSggxIolL
GltJhkcgHEKE6THJUbvmbZUVIBohUCeefAjHtlgNqrscG9DrAP/MSaWL4M4TgsAeqB8viOdSHn1N
u+wrBOPDxGz1NSxN31KTjEOpMxTaMngpafKfNpn9JSylY8Vrj2wnkSntGXPTR6oXeT00VRq6cFCe
MgtxC0cN0xbZSVYimtpZVTfxPeumHtV6Enmas2pzOMOrBIqFjvblBFSLfq5GmS3NCoRG7v9xixu3
aFBe/7Vb/PTgr7fVfcRfvXCLGn7HAAaID9tQnfx0i0KUy5RV0WGmqyAIQp7cotAfNegZ2Gh1WRtG
3Zf9BMZM4AxnuMnij/5MG8BQqCC9wLMTWAHlh6eC9wI4T7uXdvvLug8S6poc8zHOW8ePqlmoaZ89
Q16FaSodNbEHnFofp4ZQ8XDb5rDvBoX+tgp/Zusc1UZkTnPaJQsvHD7ZUgYYI+Q4pgpDsJBXzsMm
v/PUniM71kBpGeTMGmmmSc2XCpqxqwESxqVZmi7trwEAWm/R/FS1aW615SmOvIEqT/UXvaV8r9H7
lBkGXeVdyr0OFXqtQhcz6BvYY/tLpEDMy4IaKhC3DjqJGErSkhEnpvVEE5thx8ngYCzhCpjbfbQI
vUZaKaHlzkOh82g3wb2Sqj0+T0hb12nYEqeTQAKKQvFZi0gl3VQ5d9Uwo42e8jPfSVeWEiuTnLcf
hcpgCW847wL0cBQahMAEECvROor4QCSRKeyRK6xLfFqdqutaKBmaHhc/q1sDaZHwKjMqJhOz41aS
SehMDVK9hFs++gpdHWQS7YaiRblRTrQlQWp37SCpiGqafWgU40XZRcOMLP4r8La7DBnGgogaYl//
CL6SCzjVP3ktio0dYUCLhGOZ64cyko4G1E4zqK7MKSSqFrix7Cbs4iMTIcg+RBFyQBqyFxqRTc0I
MaKRRuo85EJFUtEp34RCWTI12RbkDkHlCenJIOioDAk5ShVdSht9ShB6CfIRJJiIOvRzSchYJkLQ
cqyqrwwO39om4lvw180jD4bKwQuAbaKHmVGbXyRCIpPBT29WoZqZ8ejjjSJT0EL3Bak7EHJg9VNP
by5yIeEkCzEnArY7Pa9vWth0EVtnelxT7nMhAOULKajUVcngEYfyUqtdmEIwaiwqhEo5rsuGwdGJ
vFGWCoTIVK5rh5KQnfLsJJxqdsZFQJNqQJtKj6rvmkByO24H7WZYwQtoonWbouZSyUMy5e7n01wI
XqExjY6iCzYeHTkEh7gjbp/F5GVIZblKMWVUS5tA3rz0Wmoxvt2fa+hrqehskb+fm5F9KJEwN+oh
iEO3O3VYs9Lr67xAqsscLPy5+dVyknN4WXEJWjjMXPS9IgUYptD7SusbSwiAZT1+MwtzZ15BxjjN
YKaf1CGwgig/VVWkKOEXrbzmMCq8k5riCrSm1TRQScHRHtMbaFMtumyTsu/Pk1gdj2w5vvWRLjNM
pvVMubMOw8I6UZ3kLEDmLBZ6ZyCGoW+NolE0uwNaReiiIY4WHDZIpalIpgEiu42FhppNpRDGYfez
bhlfm7I6V4Xemh9lzqwP0WAzfLThS6HLhrsDf9vUS0+nxgl3BvUTZNw60/06Cl23IkdfcGTmexSa
b5TJemKUeJYjCeeO5UMhNOLIfAUyWF3JQj/OF0pyDts6bRGXUxGZqzuqbZrQnaN4rM+itjRXEaJ0
8Doc64jUBb7PjIXQrYsRsJMRshtN7ZOLnNy0dNG4Q7JZovumXMHix+AcFDmell6qQhmPKgjNmGZZ
C828IrVdWJrbyxLMp4usXutXtKyEzh5TLFBGwzZuJZcxUny9FUhHPuJ8gVDpYzD9yES2r/XQEwb0
bUzDgrjeTLtoHgudv1H2T0eh/GcQjcFkGv/wRvcTYg1AJBXB0yYUA3s/vC9zShYZc6myjaogTWhC
eROlwc6DQrVGfNDqQE2MxXg5AGSeI28PTJl57Z4JikZIFyJh6DhJu9Dz8gj0FmG04ns0h5NhqVHe
ncYmAyVMqtwk9J6gNloTbwbLXigm2gxOEQx9VpFSHC3GQhi+nOutvigRW2wz+xiOAjqcbr0aOUQM
H5oB8pHyEgrxuxHJRsPDZveIOJq02AqlfKAscVoj8jgiBmcF3M5qgOpGU24zO4V2l85wD1wYsMfK
QjBS9pC2bjkEMvZIKEoygmnP6CDE036wPjG2dDrqxkNUYygDzcxQn4eHQSbHqcfgVAG1Mekr57x0
UJNS9Y76Egw+dszklCWEmFoVjgoqvsyQUFND8XgpD94a31nOs8BvkGIGqyjTazm3baDKzKWqy7Iq
b4JIuTaQGob32PmsWPUtAqvAbbALTPFzNGIrV7AgcO2q9nfa3f2ydEpKsNl3WGDBp9jZfQUGBdZV
YCeoW49naRQaMzcvLvB5NCr4XZf7x7VD/ZAGMRUsKZs7SXPvmhFiNFZxr/npeRg6FUBOl6IrhIBK
TsVU9wZ/4WROO/P6GmnlsAEBV2PBXNs48y2ZW5YHqFICncsabzVAaTW3sJMQAkCdk14P2egvAyn8
Fln5nUHcDKghWULOtSSO4Bm47bUCNSvwcCrXo2Qd5rWPK05B9tMQtxgWQM7DlJTqnFGCmTckPyI5
yqZ2AnbNYuYHwu8TWQuoDtX5D+i5AcTpzm0HU9pcKhKAp6kJ66RhUI6UbuSicS9LOz3FmleOe6rT
B/ED3ZCmMbj5Q7mOnOIsi+OM2noZyDTdoZhuR7TInMJ/JKf6ZwrHILb9dRz9BZKdZhswR/zZcyCt
2AhJCMQLURRsgoIz8DmQVgRtDggIMDGOUOB6AczRDxwZ9Qkm/Z1Nn5TSEw2f2v/P/0BkS1V0FTUL
TcyfCgzqHzRQ3wFGHQs2H0XAgxQaKzof4WUY3cuopJRlCmmO4IchUwQsg5hp8gjc+mUdlNHYt/E6
4FfkxHRFI3NQKby8fiMFfGhhhnoOSb7hfI78gsAtQU1+XBHiU8bQ6rTRDytu/jWgbQRtTEX/GtrI
WORZCOscsrbHiiWGza3S6C989Au0IUMwwhw8FMrbKKy0b21fmDaAuKJtgbiR9rc6itlmJMVQbMXM
uAZ5nqnzrIsbYIqSh1xPULkpJmtw5qJ1LM+q9M6I9e7MQojjHIktlFqVnEL+InN7bRqDT5LiKuuw
tV2mncutYkQnbRyel3XU0dKBidR3LjRFfjCq/D6Fn5u59k8WyXbaaUtDMinpoLcKSBaZedAwTjI3
+uTQHYZipkUJJYtSmcVD8cNHP5xxzjNFzX80WnsdUxyYw08d3loRgEyHiZhTycpL5j4M8ygOHJo7
CVjSUYVKTJK0H3pYgUx0fYSO6iKfJ62LZE0sGfAJCM4856xKGZfBBmMNkRFY1qn1eVCkm1ilN56F
Pl3KuvZUMEpMz3Is4D6neBnMbV0sASZficzyc6nXKJKZdupfVYAp541F4crpZShRaVSziyp1gipq
ypkulei1gokt4GU98iVFOXtx97ZMOKtcstcpIfklxBlkBRBOATEQUIEXUIBiKAvPY+r4DC7uNc5N
uWZidkJvhwp7unKVCWCfOZwU83IOmfmRvtDmTI1M/yUfmhilfkEjp3PVLaEbYxqC8wr+4Nefw+gZ
8/QqPztD5eBoiCF+jbzCpTuio4ppRc68aF0xWWsyxOLa8qlnle6RwjMyowJpYWs4cyDundjq+K3u
M2dRqYyA1XW+cO3xm2W4kBC64JLcsf9axLnFxEoxTK2KcSiiA1QtfeI1w+/nqEwvOwXYgzvCpw9X
6Gg4q1Ej11PVpQ4L5ASRLKFjRMs8SVchWsWZBtQ5k/N513knKrBaOpFgmlt6ekkSMqXWFmcdEcuy
8ERTUvM+e1SO0Yk8bXpbpgWcL+WIg2Y5BUK1cnj9+0f82ohsEPTwizHGrsPAamrOGyPijHBh5Ilb
nsktNJIYAkYGSxiGpcCfGxnIN73w1r9/yw2A5NXTBF7y8j3fPE2ph2akRYnvrPC0WwiEgcNRKB0r
a6UnDWOuLiVvk6K5BYzMiCuKfXo6nIxlQ/dYMk6ywL6RA+g/ADL/gLJnAR3lqZqZl7I73hle8S3p
gmJWoEP2/4bo9yls2Epl93OcQfx2wwz7KZu/JcP7X/2jZ6e3faE/48bjmb7y8psPtmHn++068Rr+
veYe9j0N9SldMcifKHCJF+WoOINA5fHXEr2iA4OSmE05bfNeL/boV7vw+y/4njbw/Tq//fDELpAH
/k0QKL8tGf75JhDpOCCJQRkzS84Lw/hqE4h3sIwMwViPYdX/8Sa87AsaMBf+G4eAL/j3GWDMR1Ql
HYidNi/8z9uvD580gRZjzpvXvp4EPviO18EWoEECPZsH/WoPVJkjsMF/P27S41v9Hx8ELuvr2yDO
7857YKGHqdsUp9EsEC+c2eutgGfcoogueLfY7n3bAwKpx1v6GOT/NLN/ZBbNAyQN+JI612vzerMH
WAST32Ee2Z293ARhyXe8DGR5wAt0WhaPe/DWLArfgOGAgWg/bwNRLIHWjpsA7BdSVqgjrF9sgnqg
aDoYY4Xt2cuToD0e0V2ug3WAOi4zOEA5Ni9igdcmQTmAzoic32HPee3redB2D5hg1rJlMNv07x5f
b7dCRUtcpjDxxP61h+Zx54CJdinUYopONeftt9cPKHDAqEx9Z/Pa0zsh7+4inAOVljBcMo9H/n3k
LAgxbfp/omS0l4ZBfgzpdzEMthCvVSn4/Sp9kA+YLGeb9Mebt3+34V2l9M/TB50xeZ60/CsXQbBA
GVWRTXlfXYQon+7oJ0kkqRZzFJ5yhC3BAhhFbIazrydB3tk56MoBXpK4UUQM4vUudOaoyLpG6Lyv
sbOxe9hI7Iy0PZHCr9NJwOO2DRvFvhrG3SMmwLRMLBvqUw4l0rLXERMuVND+M2651xHTk8naxUeg
pIBKAjWmJ8vwditEdcWmQ82B2NPz8PTBdtkE54B7D1cKA+SbF9fs9XlQD5CUUJhp31vz+BE+Qqgq
KjBOvv/2YNJh+n4yP/sXJii715ZUbrxKj4dIYPN6m0QpxgFsh9wTClDita9JlPIRLgIEJmeBaevH
15vzQO8ZY2GCP97XiEnZPXY2DjTwpAIQunnc4nm/MgnYRVF6IKza1xoTioA7ho0CeEvZHSzs4x6I
lOTVJlB3NcU8NljefXUOuwcLOjwnqqrRgX68DW9jZ64DfKdUpnEg4rW3luHxtu7iJ80D8kncgPWU
Vb+9FJwH2aTetmFc3cusWt19ExDZEKEh6hu/OA+U6A1Npr27tydh92CBmqOgbzDkpxD67aUQ7Pca
IAVLtOv28iQ85Te7XAc2wVYBU+m/yKW4DhqcBoot2v97uQlP1a8dNkFk1TBA2epzQ+ptAsFJgDcQ
jYC97VFrj/d0h00APQfUDtqSp2DhfbRgEU4wsAtZ9p6ehKcjusMmcBK4CEIoz3w0jO/yCPmALgX9
qqfwbP/yCCFQu2OlbUNyjoO0n2Kmty6SuJHJXwtkJMKC4rWv52H3SyHQK3xBy3pKqd5uBXJVJBmm
polK3F6ax6dC4A6XAkEXTYbVFabWzdN+h17BR4hhcIJHfa+jx3dMt39eiSd6tBiKl5/tw5aYAWwH
/bu9LUILcOiO9oFkAaTSz+Pwrggt2hFsAoivfbUM+s7JNXklYC1GQEGvb15b6m0aorBIF+1rvU0Q
Oux4EswDpJM2ePvHTXiXXCsHCESxTXsL5Xl6OruYR64DswIQZfyi7Eb0SLOaOoz9WNfav5hBKFTt
eBJoy9OhhMrlqfz89iSgkUyaIQMZ3lc/uXuVBbNnIomGOswvbwMzRLrAaO/rJjw+nd1uA4ZfFBee
Esq3BwFMF1VZStTqYzCxr+fhCU+w21aIfrQt7OPm9S54BMDBfJPBgNOengdBRryjYSBXQF+PPuVT
c45r9rb+SvGVlEtQ8vNee2gdd29H2AQLIMDh2Xk89O82QeSd4n+U68XrMXHZv614p7315xE0yQR1
ZrqUv0omlAPRusdK7u152Dl41NAKM7AN1KF/GsHXl4LzIKsyCLh9tQxCYGNHy8BQBAxeIjB6axKo
xzH1qwD021eTsPu3p1kLW4dBw/bNtydSUsgrCKWeDse+7sFjVXwXB2kQGKsmIREJ85PZe30N6M1R
jgT/va9RwjsF3n/HINJssrCIT4/7nW8gfYBhj4uyr7dB3z1K0AWmWbRafg3hMR1bE0PSjxZzTy+F
oHza0SwyFGHK9Fzsx1BgW8OaX7JZguKb196eit0TKvsAcmWT5PqpxvIul9gYUVPnAu3redjdSFrg
EyCGN8xfAbtIqKAcY37k8b32L2p8x7n2x0aSahugJRMQwy/sg6ixYB2YFXrsWezrpRCj97vZBzEa
AWCH0OHJEm7xFyKmwlL+wSb8Lw7Nz9njqR/E95vRZDimNkNvjyO3//IfPM/tvl/gxZThZt701b/8
NOQPj2s/ziKK//6v9T0qaLOgqsvgrlY3WeOL3z5nkZt3evr7p6/4/s1fvdnz93r+4QqFoXV55w+b
XwxPH/RsnTDb/N8x/3e/3j4j+fen+c//eP1hX5yA368Opc7D28WFzX/+mfhi/+7iyfo+K58XejHr
zJnZ+ZNPBLnw8zov1iaP3nnt6TpetzyS6nmtF+vjHnZfP4ub6t0jZdfxMB+weFqXqClmVb3tLUgq
dn6L2UP811lWbt1/csmd15/Hf82yksPzvNaL/ccS7bz+ooS3btviOLedF1/GD2n6vM6LD052sfPa
qyb5nsX39fNSfy8vpL13Xv4wyR/KYB0/L/Vi+Y+4sofpsGXTBRB3509+/FBu2XOBn9h96SD1thgC
MZ6989on62iLDRNA/Q9Yuqoetu3JR1zQk6z6679T7yF+2LYzH3FFT9f3GODnfXhxED/iip6uy2Db
1nzEFRVr59k26y5AMzs/1tOH9D67C7ZZLzG//gHrl3cP988L/b3vAuGx++IZn/15nRdrf8Q1PUVN
a8vSH3FLWRodg4dhy/IfcVPP1vmWgy56xjtv+NlDu34fOxrwRn/A4uflGhPwvNCLx/kRV/QiXt9t
044QRbqdt+UibpJtwZ3oRO28+FVA6FgF91t2RgAod17/en1XkhKk9Zbjrn3ELUWN+6/JQxpsfYOP
uKqPb1Cm6/J+qyETSIEP2Kb0r1nw4G3bpY+4teJLLLgBd0F1t+09PuL6ivc4ytZFs81bCUKMD9ml
kyao/jr/HlT5tu/xEZdZfI/Tdf2wbf2PuM+sj378ZF1+X2+LGUTp+CN2SmjUx9vf4WMutvgW07IZ
nz/u3zZVoAp3/wr+emtOKIBquy/+O5XkDdnZDpWE66CKgiFrnj/ni435kLucxett0YNojO6+Mb+T
+dx5Y+o1orHxuqmeP+mLrfmQq/s7DaddP/1vlTB2XpwYH4q99/siyqM7P9VPDZZgi4sXo78fsDgF
omRbXU4M4+y8/O+Jk3fd99ss3mLnRSt/5w9+23zfEikb//qWbivL/kQBvS/WPrM7bvuz17Vo8S/u
4od1+V//AwAA//8=</cx:binary>
              </cx:geoCache>
            </cx:geography>
          </cx:layoutPr>
          <cx:valueColors>
            <cx:minColor>
              <a:srgbClr val="DBEAFE"/>
            </cx:minColor>
            <cx:maxColor>
              <a:srgbClr val="2563EB"/>
            </cx:maxColor>
          </cx:valueColors>
        </cx:series>
      </cx:plotAreaRegion>
    </cx:plotArea>
    <cx:legend pos="t" align="ctr" overlay="0">
      <cx:txPr>
        <a:bodyPr spcFirstLastPara="1" vertOverflow="ellipsis" horzOverflow="overflow" wrap="square" lIns="0" tIns="0" rIns="0" bIns="0" anchor="ctr" anchorCtr="1"/>
        <a:lstStyle/>
        <a:p>
          <a:pPr algn="ctr" rtl="0">
            <a:defRPr sz="1000" b="1">
              <a:solidFill>
                <a:srgbClr val="475569"/>
              </a:solidFill>
            </a:defRPr>
          </a:pPr>
          <a:endParaRPr lang="en-US" sz="1000" b="1" i="0" u="none" strike="noStrike" baseline="0">
            <a:solidFill>
              <a:srgbClr val="475569"/>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118C-446A-9A53-61C1528D7679}">
          <cx:tx>
            <cx:txData>
              <cx:f>_xlchart.v5.6</cx:f>
              <cx:v>Amount</cx:v>
            </cx:txData>
          </cx:tx>
          <cx:spPr>
            <a:ln>
              <a:solidFill>
                <a:schemeClr val="accent6">
                  <a:shade val="15000"/>
                </a:schemeClr>
              </a:solidFill>
            </a:ln>
          </cx:spPr>
          <cx:dataId val="0"/>
          <cx:layoutPr>
            <cx:geography cultureLanguage="en-US" cultureRegion="GB" attribution="Powered by Bing">
              <cx:geoCache provider="{E9337A44-BEBE-4D9F-B70C-5C5E7DAFC167}">
                <cx:binary>3F1Zc9u4sv4rqTxfegCQAMhTZ07VgKQWL/KaOM4LS7EV7vvOX3+btpNjUbRN140erjQzNZORGmzi
Qy/objT+fd/86z7YrLNPTRhE+b/um78/O0WR/Ouvv/J7ZxOu86PQvc/iPP5ZHN3H4V/xz5/u/eav
h2xdu5H9F0FY+eveWWfFpvn8n3/DaPYmPo3v14UbR5flJmuvNnkZFPkb341+9Wn9ELqR4eZF5t4X
+O/P+jpwf8ZZ5K4/b39H/v78T7AONw/rT3pcRkX7+dMmKtyivWmTzd+ft8Yhnz/9NXzcDmufAuC+
KB+AWOZHKlJUojJZe/zwz5+COLKfv5YwIUeEE4UzGPnpqStg5UMcPfKzfnjINnkOb/b4790Btl4D
ZuOf92fhvp+NHgAbsPj785fILTYPn66LdbHJP39y8/hxurJWj/tX/XL9ODd/bUP4n38P/gfM1uD/
vEB5OLXvfbUN5Dsg6zG8TY9xXuwDafUIYVXTZJk/Ia3uIo1lRaUcwzcvof4oX+N4j44yAfRRugND
fh5somgPwq0dUYIo1ggbwVpTMZfpQKwnczIO8jb5BHS3CQ4M1n+CxI02e8BVPWKaTBmmyrgoY+2I
w4dSrmyL8nSOxvEd0E8AeEBxYAiDrYncPFiX+R5Q5kdMQSCiTEaPHxDVbdOMjxAiCij0gcL+GFfj
SI+MMQHtEaoDQ/xsk92Dk6HvwRGTEdOYysBG958d84yOFBVrHHPlcTXgbcmeztc43gP6CVgPKA4N
5/XD5tEZAxfzjzrc7EhjBOwup09SDThuSzU6Qgz8MAVrA4Qnc/QKwtv0UxDepjgwhEVZFPswzuB0
YSIr6DXjTPARpQrDmAxEeDJD4/huk0+Ad5vgwNA9Xfv7ARcpMuZIe80mkyMNU8xUDi73y03UVH7G
sd2ingDt1u8PDNl/wvVDnO3BAqtHMsQ5EFHBaR6qZM4JAcy1MdM7naFxcAf0E+AdUBwYwBAIW1dg
fPfhU6tHGMwvJpw/Wd8dnxodMRVpoL8H8vshpsZx3h1iAtS7RIeGdhyU+T7iXdoR6YGEXfIrUBPY
Pqky0xS6rar1yRy9gvM2/RSQtykODGFjE3xaxRBA//M6W8FHnCqgnPvIZv/ZCV8rsAoUGcLXg0DX
h5gax3l3iAlQ7xIdGNpm8MmIMzDRfx5tWT3iRGOUPOcqNNgh7RhqTcMQxGZjhvpDrI1jvjvEBMx3
iQ4M8xmkdqJ9AM6OuIwZpRg/ifcQ8D7QqVL4Cw90+HSOxnEe0E8AeUBxYAjfbJx1uAcrraAjzBlD
lLyCcJ9/lBUM+2UyJtLT+RrHeUA/AecBxYHhfAI573343exIBp+bKAp9VZAZfAcxEbDgL/fNkxka
x3ebfAK82wQHhu6iDH/EwUPx500zyDFXGVaU3VSjcoQZlhHUGDxBv43vR1gah3hnhAko79AcGNDX
66ivIQjWewlh8yMZIiUQDnktVYGPVFXFCh3urD7I1jjeY4NMgHyM7MBQX4bJJnPXwZ8Xb5kccY2o
FGKfT5tpeeB5Y3pEwU+jYMzHzPRHOBtHfWeECZDv0BwY3jclxA3CvVQY8CNNJZqiKE8RTzSSpZJV
grFKYCW8tNcf4Wkc6Z0RJiC9Q3NgSIPy+nQcr9PS3UeZEIBNIYxClCcXGw2FGzJWRAPfTdOeQmmD
vNUHmRtHfWyQCcCPkR0Y9suo3c/WWkUEysP4cw3Rzta6D5VrjIEl35bwqfyM47xFPQHgrd8fGLIn
m2wf4kyPZP6Yf34yxTu6G4ImfSUohh3ZNrJT+RlHdot6ArJbvz8wZE/Xeb7ZA7awzVKg6k/VnjX1
rqqG/BV8rahsgO10jsbRHdBPwHdAcWAI38XBPrQyVHZy0MhQPTJwsMEGwxccw156W2inMjIO6xb1
BFC3fn9gkJ7G+ad/InsTbPYRAVOOIMhJZPVXBGxY34fVo76WEyB+Sk0PYP4gc+Nojw0yAfQxsgPD
/myd7cu15go41+g5ZTVEHcLbVMagrft6z5f7qMkMjSO9TT4B422CA0P32t1ke4mEQa0fQ7ARVp9q
csfMMXyJoKh3fOc0ma9xlAfvNQHmAcWB4dwv4iTeSzUJh+prBYp21WfPaxgQAadaYwpXCdQGPn52
xXkqZ+NY77zbBLR3aA4M7373L2ATtc4e3L3knyF3ASVCWJWfyz2HkRHMITKiII0ParU/ztg46K+M
MwH6VygPbAGcbaKH+H4/2GtHuA+NcP4c8h5KPJGhtIgzWe6LjrZM90eYGsd9970mQL5LdGhoxwD2
n09uQBEZhLk1yD6zJ9W9c1oSHUF0FOr58SDYfTaVoVdQ3iKfgvAWwYGh+xVkqNyLlwY1gOCDyei1
k89gu6G4GyOGBk74B1gaR3g4wASMhyQHhvJZvBdDDZtnOO36+/DcTh1oDzFRVQ28s4GynsjPOL5b
bzMB3K3fHxiyvcdhuBt7H2ExSD9j2EVDCnoQFgMHDDNZBQ/tubBoG90P8TQO8e4QE3DeJTowsGEh
F5ts0/55aywzCIFCEFRGz0c0hj43REIZZQqThy1JPsLTONY7I0yAeofmwJCGpQylRGKd/dhPMZFy
BGnnPgD2SgEoaG6mqVACCic1RjbWH2ZvHPnxYSbAP054YGtgtanWe+k+BFaZEQ6u2fMZnRFZRxgO
6Cja4DjWdI7G8R7QTwB6QHFoCK+TPVR3w4ENokHVL5T1jpeN9dXdkK1EEFbbNtyrify8gu5L6inY
vvz9gSF7nq0hp7UHOy1DSSActVHZa01ooLUYhSOzrC9AeBkfmc7ROLoD+gn4DigODOGLYH2/2c+B
aNgw9Rg/FwGOaWfel4SSJ8s82FpN52sc5wH9BJwHFAeHcwntCvcgyZC6kBmHY3XPLhjEM4fH6qCi
BAJk8uCU1QWUn07j6DWEt+gnIbxFcWAIX7lw7j13H/ajrjUVUVl+LgrbrQqDqn44FQ8HcAZi/CGm
xnHeHWIC1LtEB4b29fo+g16aUbGPiIl6RDk0iVOgmcHjZ0em+6B3/xdUCvafgY3+GG/jqI+MMQH2
EaqDw73PWkKz0n3gzsDpIn0DolcO2kH0REEEwVGtwY4KNrIf4Oo1xHfGmIT4DtUBIj4DP/zeze/j
X87wn+ney1WEONRo//bAti036aMrmKryQKn3aP/maIpL8Trgu8NMxHyX8ABhPy3d/NP5DzdP9iHt
FLbPhEGEBFbBsxbfxh/KgcHgQ6+xEfw/yNrrK2BsoIlrYIz0wFbBXfljPUXCPti4uy9PwHDgDlJa
j5+dTkbQZg66kKkQKP+lcZ46d0/lZxzvLeoJIG/9/sCQvYGaUWjD/ufB7U9Tw+kMyHg9x7x3vDdo
MwdRM4iJD/y2D7A0ju9wgAkQD0kODOXeVJ5BS/l96O/HqkIOR6mfvbURnCFtDXVIygDnDzE1jvTu
EBOw3iU6PLT7k/NZ2f15sYbUpsahlwn6VWg0zGZDOBzaD4ItH6Y7YNo/wNWreA/HmAb4kOrAEL8p
oU3CPiIu0PNERn3bmlfOUD+WHfWNEujAQk/naBzpAf0ElAcUB4bwtZv7bhuXf16i+/5zMmyvyK/r
U8DN3nbAyRGDDu4UWjpve2Ef4Wkc5Z0RJuC8Q3NoSDvrvFdXf7o7OzhkcJcCFBrJr3nb5AiqkJAK
K2GA82SOXkF5m34KxtsUh4ZwHKz3VkEIqa6+8OjxAw7XUJKRosE5np3A2WSOXkF4m34KwtsUB4dw
FO+j1RwUIyiyxqAe4bXCsscqQ6bAQZ+BDEON6DSOXkN4i34SwlsUh4Zw33l/HwlriInIhEB75+dE
5o5/DaWDEByHTiZDLT2Zo1cQ3qafgvA2xf8DhN9mceuV+4vO/vklQyNx7o9fUgenLxiDEsFx3dzX
CGKQa4iIPcXBfz37KeIFPbR/36z3VIgyxtM4si9pt97x6RXfnpT9XEH3+vV0v2/6M9bF2ny8I/DF
DXVvf/v4+nC34YD0uXJnZMJ+V2wtH/7+DPVdMphG9ALZfqCtup+nTexzJekvhLaJN+C+/f1Zgnav
sBGGdgcyiCqHQmBwnuvN01cEQtocOnuDIENLIkD886cImks7cJchPcIYIilwDEBTwYwrEE3J4/Lx
K/lIYQTOd8BlSZD+gmF/3+V4EQetHUe/J+f5z5+iMryI3ajI//4M5iB5+lXPLUVUg745EJdROJzn
1+AEGHx/v77qW2fCTPyP7GCpLtpQWTnh9y5fNc3di2kZGx/DvA2eAFVzMumPhhMNDjbAS758Qmnl
SmHRplyVHTUJSX62ibIKLO+KZsXPIsNG5mWuESpyamApWhKuLbLUM0ueJIJJLJ7HtTyPeLaQcnTj
lc5MyZMHKcCuINppSbNGzwu/Fp0TnOMKU/9UropUPrfDPK5F41bChknUqZOG7UyO2y4XNaLLxsmt
nzVFZ7IcOsxoC5cbiuIGDykJLOF3ODCVnKgiQ7b0zQuk0NB85b50mnBWYG7riu+kJ1irY2Fj9Zwn
XDIDNfumZbZsgk53RKIo9YXX1FjIJC5mOJM90WbRSZW5331CTqHBgqFpYXta21W6CKJ4EUVFZ2RW
emPRYC537pnq2LLouui7hGoqsNL8DH3pvGi0WORh181KRTXspLjmXigklCzlVPvuI2kRJeVxkaBY
p2V72fjqsdc1kbC7zMCFf5xyvrZwVYuCewtbk4zSd9dFboUi54pQqLoIbO9c6oA8qg3HIne5bx9r
JV+EKT1VopQaGanOArkzWCibWZIuWJtyESvaV8/tikXnBxeZFfsi75yTwkV3SUoKvZW8Y0VSbooA
+4J0si/kTrl25SjWnbxxzFJ1l22QuoJ6lArLY3OUurmImf+9VDSzRpkOWDgClnk1c+zouOkyXVOq
WyWW9dqhK5azu7zozn1XuXJCKxKlFc65Up05dbaM23ppN96tU7W2CLV6EVT1qUOCa4bjUBRecEui
/Cu2+C2zylmcsWO1ozOpyb4zpUhEVmhzSc7vYnh50obNXGq7Bz/gZssdPbOoIfvNaVJ7qihTOxFK
G8Ggak6Ewi1hM/4dpGDmud6dbVmeaPLCm0llCcsm/dnG3kItPFORk+9lhu4kCV3nvE2Fb3lG1Wg6
osGPzrcu/RB3wmntU9/L/Dm2E18oEr9xOk1Pk9LRbdf2BArDHxoOXSElTmWqHadnapNHx67LOkNK
cGVQdu1pyrcyye2ZRLJEBEkvPV59jbB3IpWJKkhapwZNm0xImF41qmTrZVsGJ5WNfNEwOTe1IKkE
UVzLrHO2sgvCTJeyr4iptqGllvoj04rKdOAcTCyqhJUg31ll5XrYSlYrPLdyV03mstM0YcjQYCqE
7Ce2nkm+b3hB7BiKwzMRlBIyi07JRVRY/lWsMlKIsEQnCaNCdVoiijQ7KYrmPFGSfBmVjSKwHHkC
kzRfUFX1TNstTxm2K5H7STTHHZ1bTaeZXUOwKJUgMeMijYkI3eCcByjw9UDKL7sK3tiyknvatV8z
S15zP12AfjvzHBzqGpYkow2kU8snSOAAU+Ez2uhFEIfXMS0lEFVuBbelH13VVVbrhLBzxVUFaBY9
8xRD5rg04iQ64SkHhYiBaV5fRqVs6wlPBOioYzu1FoGcml7l6UlXnAaeNHeoc4YCdOtnlS6X6LjW
rGAeNf53xbOoyN1Cr1WLneACNcJSXP4jqSWid12au0JJ6/DGx2E9q1x5LvPY1eUuVXVH7Xyzc93s
rFP9lUySha/llzhluR7kuWjCMhJdTQ1QeUuCrdK0ZZYtg7b6wqTkJiShXoaiDIw8Kx2zrYtQA51T
HteIxd8jpZBA/0o/09xBRltmgYDHKUaWMOU8lgO467b1ebWoPKeaR0rYzkH1O7dWCk8gZXAThbJr
QEhSOy7bzDsOPHsVaZTpAZfVZekTRygxv6Fp7MF/eUonQpKnRqtY1oz66Q2z2hs1ot23zopcPSjj
fEZLGwteN7OiVaV5gqpoHrdprAdAKLKKlt8yN1Bnjdq6nR64tQNWySkWShUBxHUyk9UwM9owvmNV
soxqd9bw1izz+By1/NhP2y/I8czK9W0RJ86XMiA3aplqJ03bVMtY8jIjtoJWT0qvFglCd3BIRDbk
Rkm/lSzBRhKHnfAdWOjcLRMhWfI30mjFtUVoM1NLSdO9ErXm2+YZih5fGGcVSqb6VsfgamhwIg3a
00PM76VxJmEIgSLbi1aF7xm06ZaU1Zd1ls/efgwZf07fPYbLEGTccQIK3oW+7USrMAjOcka+gFa6
UMPwO6jLTNStBgC0waJqklmg+oucOKdORYRKohPQVKfUyoWn+ZeOVV6xFJmyU+qlVojItjZxySrR
gggonbpiyF6/zfoo51BPCg65QqHiEFzFlzNEwzJ2C82PVnVoC7u9QV6oO/Hp2w/pO+Rs4wDFybCj
J3DZFswRLPTtp+Sln7ShX1arxHZyITFlKcegGJCVgt2oKmpaUvVNSoL4MtJgDWpoWau1IuI2AUUl
o8vOC2eO1JWXpSNr1xFYpTKuVhLCAUhJDaaceJ2gsb1yJfe4sSjMOQG5YWEdiFaj3RXFwdovAh0H
tjvv6lRYOWamE7i+6RfyvZSRGW2yUgetxEQLx8v1OJXnnpP5AkwRuDYOW6Yd2bgKXzecipIiVzQ8
OGs7XgnOW2mBcO2dIScJRdeUDvhNhWs4mscN7NpfrRKHN2lNwX5g+5SGCZ3lLCkWDNdmFYOJw4ks
Wo/7ZoLIOUU8MpqusUHfB6cWWpfKrKR8CXrxTpWCEKQcL1pPuQvkzDGjJOpEwjIhS8joFHA9GhAz
g9tlbDRSuMiKkIoQN8clqta+S5z7NqBzxNLQ4IFzRuIuEHKezlw510RJmquQsWCllVhg1jUnKc/P
3l4OeHQ9gECqsBxUODXUnxV9ueosWYoj+K5YcUzWspaHRpdUwYpJaS5An363c+qLKHd0zBpDdYNM
gEY9g1nphOX4fEHs/KyQOlF35IzG6jdZiZxZHtJ0VpZIWYaUlMJ2/VBUaqWaKFbCBQGjbtTYTQ01
k8AfAUWEwjjSXZpe26Hb6NjJY7AGZS6KJBVRks5Y2MF19GytwYFmvcIx17OQfGGkBd+5tQ25wAaL
81TPqOSLrGbfPJUta4s8MN74IqlBDWjBgkXNjaV5p7zK9DSWrxltYYUkomzJNa2qM99zrlOXXoVc
m7O2+Kb6viLAb0QmS0vwBdPKzMu60lWaO0L2JANZBCwHk9YSrAk90eQ7LEvfsFOlRlp0sulwNKs6
qRFSE5tYyeYIeUstqkwScwHWyFD8AumqWp/wzIMpqXIw84leBsWNXCcrTW2Wedyu5RrdpzKUynFm
0hb4LCPDr/zz2GlOecRmdawYDnc93Y24TjT30k8kf9mqnRnnrckCywgTcGhiZsO+BISxkrTLOi1+
ulyyBG+RrpTerChKX2e5YxC70KGj3inL5bkrp4AStkNTsTu97j1Uv3ROJWyZPq5v47gQtuReUEcR
thPPiC+dhGDFndpeqDi4q5J8ltoi0paKYmAMVjOw6lkB5j3KwsQopdQzAl+ae7V60nm+4JqbiBrb
tZ4jULodwTMPq4LW6oWl4oUdFSd2nZ5GKgWvtwik8yCpk0Ub8GPFrk8S4qU6jTlgk7hYr5G3cJL6
TMphlxAw3ZNDMy55pFv1BaMm92vwY1ZhM2PtLFYWFq9uEyQJNURnjGaZ2VjKqefUuagsyzopScX1
HO5c0blnRfO66owE/IZF3Ba50TK+yCrwQnhcNIJblVlZGX7HtI1p7heSKvfb3xcbaOJoraclfrli
YPer/CyMGr2pQmHV5352hmHH8rZugI3/jqV4+bzBdpo4TgS7C9AMcbzB/KFqrirtNLK/1cri7QfR
3ub8NzQAvgHYJLjIAjpFYUglKLS3jC/erM6LKvVQ1aw63Npm4ja57lrkhuZ2vHRiCdZcU50kiYtE
jBE+U1OVCubFEmwmOmTWMK6eY+mngtTLJpJVUcnlV8mNz2PErwNw32DXoxc5uW7svDGiwp6Fhfs9
8pRbyQmSK7v0K5M6TjEPaXlCPSTAsTBbjGodXLx5VMj8ViPaddIFBkRSjku5WLoyOensdkkT7bz2
7ZMMzDaX/BOfRCBMkpAcVW8SfBsmmekG1rJOsPCCRhUFDdcdaqke1PZd2mjZLbGtwiS5bL8zq9vx
lt1JheDty0n1mRK5maU2K7X57nQ/WvX4bdTeG39gOJAUgI9s++3KVa8TTxOp/OXtB+z4Q9uroi/a
evkCIQt95BO7XVFy4SpYwDQhp9Xffkg/C7tLD87jgUsKKWk2WHoNz2snV+AtNKKT4r6oQ/BJvrgN
fweNvnT0xYMew19wUgQqDyH4Ba5pf/XSy7dpPTeq7S4hK3Bj7sGoGTfBzDIksxKufisicbtkenX6
48rVna+NuQ7M9gdIdL6Ql2+/cN9q/gUjT+vihVg/MvpC2LTK1RLNBjVSzCoD6chsrst5eOnMNFPT
g2yG5zDPM6xnAgnH1IykMpVVdP82F32xxg4XL0W+Vz4vuAisPFBJBvP+rVkSk4tipl1wcZ4rwjHm
t1Q/ZUY411bOrFlE13RxYxn2vFmA3hPdPNZEbkDozNAM6bRcRPP83BFOI2zjayzKFdLbOV1qy/ik
XmRfwtn126zL7y38gQctkdwNEsmFdSlikczyTTJLbrCR6p5hGY7hmtEsPI7nF/enZrmkOmzYvWNP
aMfeytbB+JjMFw+W/vVtrsh28HNH3NnAOrhuXGWcAVfOUhOO3i3CuXUTIeHrcSyYsESmtyKYq6t0
Qb5DIM18+/njwvpfORpoG1A1UpsnbbNCXWzyuj7pJH9VlSh+xyj1WuUteR1oHdVV5arqgnYFPrWo
6nvULGr2o5XNFBUQipq9/VbjUP9+q+FmUgpB+dPUK1cO92Hnd5XYl/+3Bwz2fHKjBoyFsIHy6Qnx
IA6ocePtJ7wDDO8F8YWgSWGiRrwFQYuTVR76s4R860r1HVTem6eBcstxkHsV94pV06PSBbrWePr/
7T0GC6yMu7yM8rBd1VWju2wV+o3ehRdvP+Sd1cUHWolZttRCcA6sQcN0RYtMPyjOZbnUeZvrXk1W
le2+M3Wj+EAXNWiYBx0dtD798hIfqJ2RrcQtypUS/sy8mS87EOSbv/1ao/C8eMZAaAJby6XUUZoV
9RSI31+G4TtRhfceMFCJnR82shen1QqB0oZgtC8H70zTo318S/AH69hxIeljBbCOYW8gUt0+rhb+
GWwR9ONMd0z7vBThyduzJr+zGlj/1i9EB0P8DxfEARv1DQLDEWjVMxueLeo1Pu2Wlbjo9AS+ENQM
dSzUS0lcFWZv1S/u0gv5GHbtjvDMthCLSHfm77E3asihbf1v12W4ctysRtgCocPnvSGXRD4PlGWE
deHPFeM2EsdItCc/0Q/YnGVf2pNa1O9or/462De18QD3SsqZk2ot+BJGZXRG2wnChHYSGFfaip3K
89K4IzNLRBCxnWXzZK7q0jsa+j0W+MDuSU0pKVGdFCvpJBaNAZFN74HOsMFPyk2zSMzwlM+lufTT
vpP1Zu6f24a3eWedjJve30DwwTrxKzlU8giWZjZrZqnAwu29uqWv31TLZrl0e6dlVYTiFs1iI5wl
c35RiswoTWdZC+d78I6mlHvHeEdU/ivudDAlqqRBbgjaBq5SU5mzOQuMZtbNulP3BIt7e2nNfF1d
JgsI6p02Ov9iquAdRGYx92fXrtE7Cc/OwXNK/eLp2U+54Ps4aTPXdorBH/9zE4fw9797mt+/ecye
//dP803clx7kwx9t0cC4z8/tU+Vbf9jJ3b+Snb/a5BBBeeXL11P3L5PvFI4evFglO1n7lwUQT8UT
j0nwR6rf6Xrok9t3tkdwzTKF61hhwN/peujv1Hf3YbBlhQKOF+l6BYrdcd+yD/VVG3CDMyitX+n6
vis6DAiHG1UwG3BXyUfS9Xh7FfUbFrg9FDNoMgU9IOGao4FNh/BVnKRl2ayiWtbMqracBEJ/EBfV
fV5Xl0yi7bHXVJFvIuQXd0WsVF98JW9SkWtRevti9p4X0Mvigf5Cyxdr+pEb6BgMt2FCJYLSn97b
1sVK1Ca+5kDYmqQRXtl+F1mi5DFzIARSwIagqpXyjlfgl4ssVItUTyF3aQurg1SzDg07ogetKNA5
jOGUBgkC/KWjkornLaPWBrcSbt5TTNs28Ylj6MkGt47Afg8uchxIIeTFHMC2LVZyQ23bYE0XfKmg
VlKeFbyNqajaBnuGyy1VdJy1rmh9JM/DKmuhUKGKiwenyXOsu1JCjbwA914UoYMgwp1R3zZtiONd
+KV2HOaakxtQvKd9zaFQwA9q2phuLrEzN3Oq8B1PYhcGaF2COADBYG3IZKDqILhu15AcyFeQJ9W+
xraKIfMMGbJEJJAUvaibDOIkFg6+vQ3/tpMEMXYMDYWhOgVupoc7ASBFso0+RY0NeVc7WkVqh1fY
d8pVlGe6q1rO17eftG3zn56kwVFvDpfBwClBdbDOkkhpuzRz4pWaIGWd1nEWzK1ChQywnzgmSsug
02XUqjGEE2kdvrdotk1J/3hYKH2NjgyVW6AdBo+HOlsXKg5Cd8VTn65Dr6RrP+h5oF2YmyyDvVyL
APp5HaQ1Eakf800RaPmy1lrlFDLmGdLl2ot93eNR+EXOEiIbjtq2m0SqEgNJXch1qsVKBmlm1pUf
89Ie+ee92oCMIoEb5pWBQ4BYSSNKLekMQ03E2s2KHBInkl9EEEdv28g+rh3X/2GrWnLadKkzY7HS
uDrBFf8JiTuoBGkdm+tK7FUbN5Mh6EgTh78XuKI7IMtQJgTX20PZG5wSg2jM9nJimeqizCnkM09J
E0tTjUJzunlTNLI2K6qy1LMmRZdV2NJSOI4DyQYMQQYoYQAHKyG6H6ThVRLQEEK9EMa7rb0wXrZ5
UYiEpskXlvuqYaWRBZkxz3OFW8iQh7W8HDJ7iZSfpxJkBmwba56QIGUc6qRywgVlRXBFPPvCbiO5
gYoEnq4KKNEpSCjJBqsITKTbEtANStl1AtWqdxo4VL2zUKkcO0wFn9RuKg3C3o4S6mCz3aWkZm0I
OU+1M3BNJaPzmvskT4vrEkkQJa/Dgs+sPC2XikXITerg2p9bXIKCp87xrR9wl2kGjkyUSt/LkIdG
kuRk6cdRssSpFjy4UG8Bci+H/rWrWQ0XVarYx5kFubsW5mGOFaKdQzlAYyp1ls4wbnBlBpCxtfWq
ttVUr4hjmWEugysEYVTHkmwESYK4WICpIbUeIY9B6JYH35oQOSck05JrKhd0XmqeRCBpF3ZrlcWZ
maPG62aVr0KdSdOgNcmD+mduJwnVO1KgEpK3pLJnTeHFIBx1bbZ2VaqzLLYcIyjkEMqYEiogQp3F
MNFhBamZ3PMknVs1h4g+JKuFUgSWLhdSFM4z5pu2UrbospaxYrh5hgLhwUoqZnJRa/m8kXlzyvyu
C6zLEtIsYShaN2ij7MGxHEK6u7yWGh46QstAlcf3UObjFXImyqIsEwT58QL2tseam3bzSisLaxlm
LqRFPBLE14hL8tJr+y0pJPyhfqxNkdYAXKGqGpFlgT0sAr9OIchU20jPggJb506KGI8Xfsuh0KBt
Aq2A3E4hw4qqrRjntQ71ctKMSY5nnVcgOszWUzVR+5Snn4ezKHAzTQQpGC/LbCqX6ZIFRacUAiIo
UvQYCrogUa2VtTWrAx6EZm6BVzCjkR12OhQ3gcaMiK+UeuhkUgCZi9bOL3JXCiEdY7vqT6msuIsM
FJNi7ipqqa6oZNnWcSTzglNPj5o87dpFDqeFIMUKaWsemlZedelMy/LInbUBC9sFyvMwgexzG7g6
b2gbzDM3dSUdYCW3UhJ22IA2P35owD8IEkceknKY8ii69cJQC5cyFBIFpu8U7Kor/5e9L2mSFFe3
/EVUIzGJ5WPwKcI9xowcNrKIzEgJCRAgJvHr+3hWZ433Pusye4tus1urMvNwT9yBbzgTYxDslGco
uZGAh5M2SyQFP8CHuWuf0IyDkxIb1bupwxFA2VOLrWQEep+cKQfKqWEOlzaY1W4oOCHTaQiiqC4E
D8RUJO2M01klELtl7aaC7b3WkOAXDAfQFIFrZH8kfhUeRJXoOKda90FRmYoX28R1lHnL0KX3ii8q
zIOqB93edGrzbnxehzvScRHhcNOkK4mTGwiUiiyi1GkoIQbB32UkrdIWl48I+nxdKnC3I8QzXwY8
UdF5WYX7iF7I1lZblbE59IJnVy8UrFOXOlO0aT+eo6lFSxI20XhD2gT4tXglSfsZYsZWnnrX1OvO
LtGGjWMU43OoaPQarbzhGSO4eHdTuyZBaeOtwsFPRDUF2H5tc7bwsgIx/LleFkwWSqj5yUIo8tYN
MjjMySJ4yXTk06xlHJ8T1Uatu3aYyQU8bhA+2DEiz2T08BdL7FmWj8QlaznTRlWHYaV0ObaJsPSu
8pL0pfX768WpVG/3SW2lvV9dOLLc78HpZHJpcWBgUHEZoIOlLwHzcXU3qJIDONF0NcfRppzeq2HS
+pGyNg2Pa6iW6Tyu43X4lG69j7QXr6VZGvzTxmzbnK20Gbe9r5Prl78e+oL6hOPqGnIJoxbfYuoj
/FRSG73lqZ5x63S10NVDOyS45YcJU4HAa6ipdGzlXU9C6D1Bekofp3sZ1unceBLQROVP/bpbr1Lh
0s09vRYN3Ew5vhEKyJqS65w8ts0Lp0F6YnMF7RiT0DTlqxPx69IGOIx1UO4xGFff3giMueoGgjKt
nhi6xd62Prn0qeg/Qz8c95kMZUVPhol0uuHSiLlwQ9JD9Je4YN9B7adzP+ndV13r6H6drG8Ove9m
/XGJG2EPDfea725LrzWk6mtQ0TEyrMuKOml3XdykHz2fN7tm6USfJSHKnBsW+ViZ0d6kjVZREdGB
Qt1XRyHakaTpy6C8WZQ1bXGbbFA6gYluDenfGxRkd2LQw4lyuVbsUkUeftF13uYSTWaB5naYaJzz
tB5ndNpg9jF69+rLkM7ps+cwpp+2FKrib6NtnYWqgyTzsVooPmptiNzycBGxOHY4LUvu6TTebWae
x/PqkvpJzRCCscQewmado8O2xDg52id223e1Nubcxmt4641+aErZt818I9zSyavyoJHPmETsNz9t
UUZQOu0MMZcFT50uM+vRBVz/VIueVJ+I2QIG8AETmPvQjYGX4sMsH6BL8KC09Xi3vEnhezOkbjbW
xyr1ycNqPb7thwlqvrLaJlykFR1VcL/qeosuTdzVddZ3sx+fQwJMMXeYbmy5yA5nbWFtJbJhS6AL
ZdbWJVmDdSjmmrJhv7EeV78OV5EUjjvf5ryzcf9xiRx5hr4H1xo6XfqCa72x923aEhRY2qVqxyCc
hsJ6+kzZtDCSaT0nHyLa9ksBHc8YnkNes/mx5zYd0NxxRYNEhuxwh8XBrbdVMGpzmwydDO7p6tfx
ka8mxfdaV0+c9eB1S9FYjpqBaWwaz3XNcfxDqsXOSqZlsay+f3R9iPvexXEClSOXya9KnP9pjORc
QedizffxryDJn3CV/8eRFMCIv4MiVxPENQz1D3va3+CU/6qBC317/ddv+4mnXEO6AFcg1QmoaBgk
WCJ/w1NgNIVYM/SDgPoBoXjpp/0Bj3GGQxHU7NUWASgGL/3EU5AzgWe3Iw4Gj6hC5hugx5+Y0Z8g
L9g//hWC8XcIIwFgEyOYIsHI4UMD+eetg62iTycmpztVjd2J1Wl4Htr1hrU1VCvT8BI3TdGrUR9a
k9Tbu4SeyXuYnMOMt1U5xov6IZVdm43aPYwiPBnbmF1fQ3RLNgdcQBNvX9UzlPWd3Ak9A13soS4S
HQ8zlAch83TuwU0mXT09OdF9TqUzUABCQ5dgAoD+l9rwNK/edoq6FsK13EGfeppqXTjKvcPoDd9F
2m6AJHy+d8RgOSI6PdaTmF+6lLEbWsX6zIIWs3/11E2B7ErWOH/XEVYV8wBNXDKnbWGCLSjquqJA
i1OUC5Le6GQYy16QPBrpCP1fd2GRnCHkMOlurjcIqPiIkUK2oHQXeyHWpvnY9p+HRdw6CPek7wpq
6dkPxc2yjRJC+27KKpTCTDGWQ0oGyRHOcCa4N5b4x8R3vpj4i9vUzHd91MsMOxHGVWnJIR2mR6mD
J6b8djp2sfTGh4q0UGb3Xd72Mj70kbPtUzz66ZDJCcqhLEh4uA/IMqss4tF3zafleHXX76cWSvOt
ae+dspc47E5tLS+9T2/Y6O2MXU5eExdmQ6np28xXWx5V3belpY/Qgn7+cc/8T5eY/9+KB6A23LT/
6+e9+bficX366l8rx6/v+UPliACQMUCqeMQzxLd/qhwhpcBiwyQGKHSlH35WDvYL1IbwPkeYQYiP
ieL3ysF+CUgADwK0HsD/8IiVf1I5KItRGX4H9HGsgHTjEOsJ6hRlQN/+XDnGYVFtTRXcByP3so6N
RcKHKzIgc0XdWGykNc/VTOo7im3zyU4cHiafTIdp4yQnE6QRqeFj1ofB5Wr1KrFooHEn6j3Y4jkf
kXx4A3HjG3a47tk4Y0vd1+t9KkSXNw00henEzXNo5/PgT9BqtGkxV9LcNaIHG4bx9ZGIpN1PEDeX
YuaksIR8wMZVH+o6mPYqxfAXTcfAsWfRT2BJsBBg0+6qu7pamzyMUxiP4uWQLuyl3Wj1oQ8Xc5bU
tbtxSydMT5C6EfwEd2ABOQbaMT30xkR3YqExYNG0OSxdkha1CNIDJLgQJYrkk7Hdglqo6gyutdup
d3udep8XSPiy0Ux5arBbRrI7AT8pdSL8kor5hGngZjbsBb/m2RjeZf4IjaOJ4T5otfwSzeHrGmPj
htT5o+j1xyFq67KTAgCPqJ7G0ELAW3sxVKMkyWMhDnqD6cqLm/dAyDpb2/gUD7TKxq2dsjRS0F16
kdhJvvgZPASfcaIVdtbuyXj8EtbujW3VIeA1rD5d8I07e+/Zdr7VjA3wCkH91kPDGGBkzja+XSKD
Uzp2a9G75V43wRsNho/bor9i1INwV8qTrte7GFh+lnRkhKDahwZ8oUcIxSFJm1ZbLCK9g6FlzGkT
HuB0ujVrw0oDljqLiPzcie0hDMMb1QNA8lask9j1oVXmZs1j1mt2FzhfBW9YByJ3TEary0SKG4+H
WwMYbRBFHQ02k0n07lm9qyYGU4rndvHGoQRPVXT25/o0q2rIkggGG9qQW7R6ldUzSiv3iSxExKq9
i3TJemhDrbfRxyGK5nxmA8R3Qn/taRdCJl65smrcVBqV7kBRqAyYDH7kyvIjtCqgkCMNkShu8Bzi
9UMguse6bVdc2djiWGqzDkDBcythCOBheCCmXbMhApIHLWNTUL7kW+hj63L83Tl6qDwWHXUUPQ8j
/0LhsMsTHeRIsbqENqqPSxjFWbNMWCIwfwKYC++SEe13ZcOYd6SKd+sQPs0Y/XM+Rrd+tXR52jqY
srzoNNRTdSLO3PRhTY69qXCWRoi1gk8W8I63iN2yJesuXKo9fEqVztNm2FunO9gIZMH6+k3W0Y6Z
Drc6bpOuS1b8sM2XTtrTmizdUXsJK+qKkDu5dEHBJ08+qqoXpzZkOpsYv8y9Z2CMiEvqMDnX7Yzr
fG7ajHfrgwOGhCGlg+PPbTCmUcoPfj+GJbMm3DvBUwDPvT12fXsjpA8vm5iCk43FduoVhpbQwGhh
+g6cUjrsNu1Oni8+dV6DcV1BDo7qp49eFaa51N3JC5ZcrAACYtV97hMlvtsWnkmJ2/ghUeodmtAR
+EAajMOv6PZ/+ueVT/n3/fOaXnYyr/1UtX9vo9e3/tZG/V9+6FhiDLkhErHx0m8D+DVXMQYPBg4H
kTDX54n93kaRHYLcPqQ+gfkIwFr+cQBn5P982NWv8k+6KOb9v3bRq78BtAp6OXoz2tyfuyh6bLOu
QErunDfHpMvoRDD2tS1Tx3iS7V0VgjOTibxA/b3nWxw99A6lbRP+Y8DDRz1M78bv+mxd5RFOmRuZ
kB2Uxrfw2ObevJ3qltyylhQbTcZ8Dtc31wW3EBPhTpmaCw3Zjovk1kqMfc57iJX8kLj2Y7SOOeP9
OwthAUY9Ay5x1LCLSM8TWSyDY8Tky+AAIYT+g9P1ZXKYpVP/sibzCNAaUDPb9tGAUlaJDxFsrR6+
UVkPy1tajWee6t04BF8CUe/ncTy1PN6NQXozh/2FS3lJzbpLtzAXsrtMVMET2J+Bk32ESvsgCbmk
2D88be4UURfjkXKe0qK3WwEm8nNa2XvQqWexuBw9cx8uUxnU8WWgHfDG73ZIadkADsslnHpbyl6v
eHoVhx+Vmo+exRAR2Ucptr2nFBwKWxZ3w5OzAFP4Wt2JKDmAaS6Iij8A9Thszj6C2X1r6XrxWHuR
vL+dYxAn23RqBncAYJElovueqO6CqOdy4+kxEOFjIpMuY153GBNoeMJ6gX0iAQrq+pue69fAhI9p
F+cSy8KVdbmbvPFWUNhgxHwctja3ifeo0hWQLH+Bd/CDSIMybiuS9bIquV6hWOV+nydNf65Yvezi
pV8fajfxwlTxKxYeCF/6dc8wAaFudR9hTJfoBOtbG/3Yfgbh96V16bIB1WaDOqi0lcfRDIO6C7dt
rTIVxm2wnwdg3SlZcPZXe4w84+8N6MjMY92jNtgo2xh+Tdtr7IM1Cc5rtM3F7Aha51qZLAXIWPBg
U49IAtnDUGqzaBQH1RJ7BTNZia90Beq3DZMWhjzVJX05Ml/lUwLFPyB90NCxe6pC11/5Mlg/Aafv
gJV3OYQCwFuF/YBm5pc6nuC8relDxVwHzun7EmHeSD367FH+1bCgYC6822i0Cwd96a1eCg1TTVjz
92oLz0yNH70F7zsPE6y9+NvpajuGizsWaOjmgZrmZZlg6epmO2Y8ikm+yRB23i58EwB/Mh9Qdgae
aypsmF6qYRZZsqpvcP+uGcDUJp9n2ReasnfRpV9aRz9EUfyO48faaABLORfURdDBvy2boCswhsBk
rzl0PB05dPVQBKy6A2d3Ys3yEq7u+5T4J5WyU2gkrJreVEIg81JttEybur84vvS7Zq4lKo4Xn03N
n1pMjJjJtS2pnINiCmHZX0j7aVEbfuW++eYZZjJ/XYYC01O7U3o9cq/eKz+t8nSbP29G9lkNP3Ll
J29yXt/WcMZAuAJCgJjgEMRzhHfWBwGHFVzWdMc6IN19QPfc0E9jXyUw1yR5b6NjJeCzmuLqkxMB
PtwLv1YcfrQY9CTYpzdvGgpLY5ev3C9Aan4MRD/nDvPRRic4h7TIgwn233Acpmwbume5BE3hK+fK
NcZ5Xzn/FNQg4XjHE1xfwa7XXp+l6YJbtNIO8mTclsPCLA4v+N74dN3PXGCkhHWw0hVUa01/rKot
xrHNp47Zu7XBdOhAXrMmOC7Sv8hxBpbvn8aFYTbx0jSrPKew0a+3WvpPGJZuolY+gwrws1nFRTuo
OWPhAl519W4xg5KsdfrDIMMoq5ouKeofGImUut0BbgBy4hmAKPMVTvEUgJVwrHbyCrW0Pvy9/hV+
cW1XwScHSGad6MkCo+kaC+LoCttAvFH9KvL6zyxy3bD//Sxyfh++vn/7+xhyfdcfxhAfUSNRFGBP
gXwJL/1hDEGfjcH5pwmJf0woP8eQBJGDBE9VgyQAugBKMKH8xAHjXzAs4DG44LGQgQSN7j+ZQ+C5
/9scAiwBj/fCIg8hE/Rff55DAo8uIF60viM+bppTOladn1dzE3ofmUHHK5t4aByoGtU/kEQXE22O
29AcICX0udq3rQE1BXJsZC8gmMDAV/MzCcLhxl8RaPCJC7Vm8dhCsA7HVQ5g+87pq+daNeOho1Gd
V0vzaLS7W716zpD89coTCp/CoG86f7sH84DtkA8vq9dibTdI/2Dry+Yv3+IueewCgw8Itu4g1mgH
Gt0cQpsCj1TfZzNc+32DjRxPDS67ZdQfuGjuvTDY8tF3Y65XcscMf1ga1WaI8vAPAnsfGCZ2mOMO
4Qh6OfCYfg67dc0Wg91tVhCTGyiLyzQK1QFig7pMh4TB5sfjsunlp0n3Y9FGnd4LzXW2dT7ZBbKt
s8kLPFTVeJQHJLAIH6QFSYKMJp7L1tqrD1L6mFNCFe0BV9Q3fg8cA4zz+jGeBxjrE0hJ7VpFdxXD
gCdIRS7Ohad+Dem9bA2oUAt0Me6TEUyzsjtpwPpk2InqjCr2kYMoPaDcQRUroaJwM1nBs2puT4oM
7QMHx3zDuuGaJpA6K3AMbV+dwsSLyRGNwdM7umiIxADrvpE+CIsJtrKkV+os5wn7NlPFCFetbNHg
4c3c+VHzEKoUKRCrM2sWDPq9NtNHtNdb4/uiaJJlX49a50kUnYfUO1uP4kJqqiLq6sdVtqeODp+p
p2/VgnGhp80zEIulHCX7Gnb9PRXJpW3WaczlmOj7SLmKlkEwB+rSRFJtZxJhG/b1UupOxXkQzvyo
nTxOzTWHhJsWeR6Ulc0mvm5gnbHKQ8vUpaDzTINskAhDTx4O0Ve4uYcsCn2drxTOykCu5UQAeF0n
Lyh0kJ+DQaQCGIA2DaM25+FljJemwGN8zMGDfTjzmSjXCn+p8LmSpGXiwJxpP2qzOkqhfd3CeQ94
AKLp1b8k0YKRZYigv+u0Pfn+eBNXK0CxqKaw7lkPSSf0S7wiS4Y787QkGMhSt6Q5b20CARYmmwp2
xCvJkNkkeW+4+FYbVue4u/JRQf2tPHUPWRRW5JmWBABaPlkH7QMZVNaaJUVvpplPQlG0PoDpgmMu
wxQvzLZklUqMPrV2NM//wYKxRkaIDv7v+scRIoa/d4/re352DxL9AroHgYdINMROekV1f3YPwvDw
Pt9HfBW6Abn2gd+WWFBF6CpQRSJ0IgCQjJd+do/oF8h1k4gBO2YRifD83Z9I9f8Ni/TDx/VHLBj9
B7orHAOezh4E0V+lkAEcq0iZSUYYYGK5M6auitU0IdseHAV3DWFJKrG8lqGcfQkDy4w7MoKNgZQm
AKAKT6urgvqmZ1Xv7uC7RkhEBlY1GhAms8LmnjURyO49gXywJlkY1pV9kB5XMy0g+zHtl22Ip/A+
maZ0aKE77ebwZo2ixQKhhZ3bvibbOECgNsY8sX6+rsOMWZHMctgr26VniJEkApKGOOuXJfzQA5TS
iBXI+slA2xJqSC5Iv8w3IE/cjrIKvtpaT48EgqY3H9rC7ogYF/E2h8O6q63f3IJzMmUdGn5RXhTu
Zk/JQxySRmdsCRw6KOVHOxmsfW2yXIiaR0Rfdd8NJk5Mp5QOr6yqkEIzhqDgJY/oUUZqfKZL3+T4
BaOvbKvT/Szr5VaMEHWYrdrX6GmPbPPrcsU4jLXRX0NsUXbFTjV6R4R7wAzgX+08EzpD2JGuy6BP
IksG3uANp2k89NzfkB/UpQThXJJ+QUvd7uW2oTNqOtE3SKmjG+y04ui0sp+CyAbIqKH0voV7s9hY
M91Nk/6Kn7Q99pByPxFb+XWufJ+dAQSmGRKR5AVRH6IQLqouUWXtPk3roVRYxS8bcg4Qs9UCbHYN
HDSBcF/DeK1vo4Xbl6kx086mCtuvV1Ekl5Ea27kEYOtSYOJk7eMHoo23q/rI3gcVtqQRXr8bEAnz
jbX6xF2zlci+YeDW3Pp9CbGLsK4Rp9UAx0PyVuKdKx77p6aytcmNg6hgHCfkNDmGqUNMBGgCrqIV
0W2Qt9GUn+rBi1+m1PtofElvKdbeOxw+33m6Cc/W0BA4x+DfuU2up5ot6igqBC0Yb1Rn5Li5Rzmw
pZjtVTRSTSt4io2Dc7NWFP+prD8qq49B9d9P5v9Vd1X7/vfaen3Xb7U1/QUjZxAj2waPLwYT/3tt
RUChjykT//3qa/gTQHidvPG049/n+Z+1FTzbNcjmmiiU4mkP8En8k9r6N10wIsmBf+MAkS4fQt+O
tvBHw5cYkkWpgNV3Huk/i2qEcGmq34iLjjUB1q3iLUf+VJkgfcKfk90WiNvU9ZeFIbCHX9fUpuqR
UiW8fEgmuhORv/MRM7JUaPwsAec0C3frj7yIPYNCTcYXzJZdXpP6VkZ9nc/ecKi1fW1i5M1MJPyG
eBGbAwgXICvWm5XN3zRAy5xp0N3oDmXsZpRt126lP3l1MTTRWkAjA+5hAm0WOj/OR9O6XWvcPXUR
IuVEfTOtEQJuxPgpuM5TEC99M358ghi+K/q1BWcwW501IsgiiR27TdL7LSUfZ74JcOmVhiLaW7I6
QS1UsaryTVwn90YgSYQDcBt3LjE86yEfyuiCxUGKM5C3m453NxLfCUlCGPAaSh+XShezQLSIbumZ
E/rMXQ1POp6emYEIhd3BAuDstMfQhYJDE7gq56z7yKLBy1FgxSTyaO4r8TRS1X2BZu/FbeFygzS8
uy4YYYYjiBxS/fBlBZJXtXrfdEuchVNksnAB9TIFnAK7Y2cp6EvQ2yCbquUOiUhxqfW0FTTaRLlh
ussE5uW9Z6bHwJPfopqbPfSB4FW1vkEmzbi+QhqJKh+/WheYPbL19vVkRTl0S2NeUiLbJ5hKO/1e
ie3bssrHLfAhQpg6hMDoQTL2OgBd5bi+j/7Y+od1pOaODjy9CxvsCyi5eZhCv7AA2RkHABu+9BET
EKbuEqgNcqTKNBjuo+TjghzFpGrkOVjNO9RW9OAbcU28ipncsv/UuV/rHBiI/6bONa/fzPAv6hze
9bPO/VrMQvpz6AMC8HOGhEgJxS+MUWr+IkTCcIlnXoAFuT6gCD6QPxi78EBwkmDnAQyRQl8GYuUf
lDnU2b8CELC1pD4cNUgaSxgygv9c5kwXbTpy3N75dfCsjX2iGDVgYXzQK/K1ljmUJ6zLS0PCA2A8
QPNa8x2f4yUf14lnfg8SJHELogWd9+gDo85ll5BsCccYSZzkYfQBB4cpPqvFDFLWqsNKKwaadbJ+
GhKwultrWEbMevZ6JAQ0reryBVmIubdGvMAODv5iph4I7qW/+G3zjLk7Oifz1t4q+iPIiPZQ8uAW
o3WyB/4goFQ2Sx5LwKrb0D7LFigzolRB3w/22CPii7NRlFZDVJyEzTusJy+Q7XtZTaODCbwnb9MI
GOntebsqdLdIvMGWp7Ieuab5YBbEFR0VuSUi+DbL1yHIx1QcIA8QxTJPsOFsk8IvouuirVdd0M12
ZefU67KhzK/j8G0alxMZIUdIfXwhBFQe7cDunQdmwrWlt91OIzmtIfsSqfhofLi0UxchrzKJbgcx
3FcgrrJwZjDgAUHRMQIOhT+VhCGiBuk0iMkSwh6TIfQziPEfqVjCh9STX1faPtiWQYtbB0BtiCQ7
eg2htMkMkCRGK+u4gWVZI3yKawTIDj67pZU8uqkKs2iQhWLt46otSs42kbIP4B5iFpRQnMLWAcFM
X4p+nJ/E6Ac5J+lH4RmVmarb974CCJo8h+n2SjzR7hunsxFlD/BpWhgqkcoFOX+GPM3D4s80j8f+
FBB8l23o92nQqFxz0vr3XTi2TyDI8A9DN9CBitrC4WsF/cWRzt49LvDX1ACwGBSSWqUmn4YeMhXY
EQqPhfDXLcH7ukzvc+Lczo6Ay3rL+AEOgbcGt2hmcCi5xg6xq5bpKUKa2U3DfAgQ1OduS2+2HqRI
ZCSigT3Mpg5jvM/83Sg4yYzmSzZYexnVhttnfpaCv/UyYYc2gEJEec0T32DnXylgmCA5AqhCKlZk
TlhtarTBuNkx2x5jEQF59uVpHts402p7wmcut/0MSQMCeE05injIf8jxQQHpHUmvJ28NXO7HPC4I
Dz9ao4Z83qYJS0bbniydkAzlJUkmXYXtxNZjvq3WfBI+F4dWyuFexVGaLQhCXltHkPnYvDCKdUSM
CFyZFcksNRVOUNeWvFYT1Ni6wt0+0qOtjMyMiiWieaejvzH/2DN5TAgiQmMcS9bHgcuwC49A5+29
VeOWmb49hGN/UF5cKAN1jlIIZOpqj+BOC8ccav0VSX8yKVJhizEkgM3xP14Y3SsQAcbOH8iqbqJh
OpkA2Qzh8DQnAME22+yxmiKeruEb5DnkMq/Th8pcgR4n75twetBieWF6PSPF+JPlEIVruEWzxqgX
OKpO4eofnLXPI4sBD05ISwEoFWRpDd7A9mXiD2bXOGYzOqxnPgQPunVY+RZSJrQ70QmZpc5O38OI
f6kEuYNt7QKX3X2vEsxos33jSKPOJr19qiWmi7BnYNlU88U2CaTGDuTISKG3kligvc6Uc42rBrZK
p1+CSUUH8NGg/fBwDVpKA0NQVJn/rCq/Rqr7wF/+fQuH+W2yr/+iheNdv7VwPKMoBZoE5zNMl1AB
/6GF44kXeKIJ9AjonT9kwb/BQOkvGNLwEvor0hTxiNnfYaCrWjCIoUqAhv7a39N/0sPplcT4iyQw
8ckPlQUOgWGa+HMPXxcuYCzh4Z3eusQdt9hA7TXLYOR3MC0ETXP2YJI7MJ7UuTfJJxeKEMEiYVe0
oO0ywuMqg4dUlwg3DQsbNf7BX8ASsDUY8mk2r8RtCGOOqlfE+iJWIYDJeLDxTQ3NX95zda96KPWv
0WWguUCNMbgFmNv8Q5XGtsCWwqFN0HO2eA3imYexLmQ83kwAL5BBXH2cSfyARG5kEwB8MAhlm7d9
1WPhmv0GmUXKPGy4c01sjhY4SFbVBkaoEWHJKfwLWTVsr6kaHmIktB6mBhrAtKb31B/r8xRuZgeL
UAuFVm3gzuu/B1y8TgpLUeMl5ejel5VGhYv6cvYCyNGa9rzS8GPXChR3hjhBZDlAqob8xVx3QPQD
gw1kY+mQk3m9QVq6KumwvUMUtUPy6TWZHWAZtMmd2VsEVg8wEVJFACBj4s+HOXgfES2mF1So1L/G
kd+2bjtsEaQQk+CQD1/FIk2FAN+6hSi6OwCxKVejnmsEpo9j+9AN/o30phyeBDhbgPLPOKUT8oJL
f62Gdj96hO1Y3J1I1LwhqBONPuG3/jWrb64giKs5NIfYxocHsvod/6KGWtDSBka0D942um7fEPDl
/5u9M9uO28iy6K/0D8ALQyAAvAI5MpNMjiKpFyyREjFPgRlf3xty2y3LLntVPdejhmQyE0BE3HvP
2Qfitv6CHNqDFjVk7yh1dlOs6ECb/bvXxjvH9CJ4ifxz0o/fGmEAxGknzy+G6dDN8Y0oQ3erjdO8
a7r4Y9SkolqcX2lnPnbLdAcw/zNu5Cu9Wl6TIfUCSUNr60Tia2JOYJyj+XMeN5mPNB7/r1WyfjI1
sXV2DVvdYcI5OMqF9uU0j3PCx0LDzhEwci/h1CKOjxdWYXvTx13m25n0tp2c9cPifBhpJbCUdZ+G
Dj9RUQtzA3jsJkPFsbch1Cq8LoD6IM3jvGfMG79HWQOTuZ+XHU2kOkjnaG9q7WsyVoeKxyYoXYSA
+Pv82mkXNmcqZpqTx2kUIUcU7XYOtRdkEFeytoxNaqZPqB8i3IGmw+GMrRG7MW6YQ+5kCES76qq0
Uc/FeBf7FWsYy+yjjbtLXYgvQxueZc62nM3pDYeVU22hiZeVdyoxWvom05cgZU9TcQJophvGfTNh
ouliyyCxgESozH1dnGpb5PZRbwGgZFb9sGgS4WbsYjE27SdHix8mTtq6N740sUiOdewdl6k5hZFb
n8KqfZFTuGeU+aBJeYwt96KB7Y51+a0Wy01RqANdwD5Y5AwOE93IBp/y/TBU+wxrV9Qne5XG3jab
vJIW8CQ/t0N7jM20vw/dYSXs57tiGk9ylYn+tzr9Xp2uBpV/vbVdVyUhQd/mP29u6+t+39x0CkqE
eDTNYB1Y67Tih/oU6gGBbVIilPuuxvttQi5R93kSAgfb4Wqu+a0Jtw44IGis7CpEvauD5t+oTh37
TzI9nDEo3RHVW2R+WusA5scmXFHTy58NV94U1jLsaj0UGzierw5Tvcrpn81OPmXLXTgPe7Mxtmbj
3vVd9BTmS4YVzbGCGilQU87X8pxG2rs1Zk8Fvj/InSrdY5N8kx1G/XnEmVekBz1iIlL31c42VBjE
iEMCUzc+a+VQvxldmfhIr8dtSv7AbonTw5goeQgjdVXCMfBTK34u7IoF3XtdtI58A1ehwmu+zGmG
Vcf6oqTxMg3zWtxM192A/XzG1Lmpm/TU98iLbMhvz7PufmbVS05lDVXXGG250ev0Kevzz9Del6Mo
QPa0WrVD53dYGvPz0BY3XgnOTzoPiMsQNW8br2Jomo5PfZy8uolGSVU9t0qLrjiobrxWBEU5MPsA
QATcbJqTGyACQTPD1Ma4+7WquwvCqYbD+3jjUTJRwplHUe3SpqOGqAgWeIjQBTq7usteGxPtEb/i
vm2XddY/bHKRU4NSLwZZarpPoQj9ym5bhvoYjUNCVdJQO4O5Gw9V5wxBmPTbsUrva9Tlkg1hJ7DY
BEOeI+rPvyotHjed2TK7pZGm5BLT5utvZ9c76KkuIZVD049L9tUkEYgueb88D1o7YoN11BtinGSD
V/xMBADm3RS5fugx4XLOY4ffoPZu2AQ2MrXXTmR6HiMaY8LZOAA2/E5McpPr9uCXMbP9aFlF7eNg
+HkmqKOcFi5t0hVssGztc4IFviuWW69zvti1dgSE3O361gxCHYmBac53NOzawDGSQDbW+7zSiUWT
3pdGkYIjV3uttp5somOagqmMDkrm3GjGMXer6zqdPg/F9Clu27e6YW5hjDP2bykraq+e0bcyik2W
dsdh7qrNgA+hTxh2L0hOgiQu7kjCsYKMnbkwumpHUgzhCrMc/aw6WiZOr9RxP7geWHnri1DxLpP6
Hi67jkW/8OvBNf05tx5SAmFIvzl1xnhdLSZ9ka68CtvuDK37aBY9WiuyYNzBfUsZU3lxtJfCzH3p
to9juxrANIoxedTL6qpX4lvFDpLp0UXTy89lmz/JDPdIvoxnYamT1VfX/ZCtDV/Uk8Wwn8LkLHq0
Wst4qL3qaCixs2dxaCK6U0InKWW2TnU+nsZWvwV5ke96YmdC2tqjwy7ZimUHfuRS9zDaIcNfIUa9
x1p1ypLhAO+15xMWPTpe8yJ0dR3VzqWsh/c2mR3fjcyHtmqfo5J9cEqv+xi8djTfl4RigLaLn7Mc
csmYPEeZs7ej6lDIxD3ONsfZYYy5O7prq0Sox3wZSUZ0FNK8K7SBfBZ0onGvjsh3XxD35QGG8nzj
mf09sTLnfhUqLg6+inIpXtCHHJx+CGr8PSY+i6B3y2vUtZ85iu5HDWGGN+7yZHgtVX9obf1jaWEv
JogyljZ8SWgz0upaAFbcm6SxB0zEclSAlc3aN1nWlSYY0CmZn7yoPwuP80vXA9DEigfw5CKGnBPA
PPppFV2PoSi2IAPehqRzfU3l0P69fVN5N7QjUjz7065odINcFuNTYvTnyRDPVqbdwKZ7WNZLaLn2
W21MPI3R1jLHkxFpz5M+XCz0xXo2URlwSEHi/MXUmLAkdZTwnDCM6LgWyrB3ZU9SQOPiV7Cs69kr
Or9L1oNHus9KrLutND5h3rpqMELHMUKnVruDUmEEpniEErpFO/iW5s7Dgq7iXOLhO+oRKE/O/Vqp
h3T9CGBa7M9GLffMin1hjfYh7aTY4qQ3D6vA1zSjb9nc0eODBX+anflsMFaGaEJjUSfmxGnQKnJT
1IGJn8OXkX5oi/6lHZOHplzOcx89hqo9lBojlGn1OGHU4DM/RnP+3DUxlDhxm62BNPoQmKmcWVam
vS2qy9hFj4m+oNCVw0HLl323uEfKsLslNw4q8vhqjIvWYP4nbuiOVuQDtCAo+2iJYOuv+iFjvKst
ed2CGZVb1Cxmvu3HJvlkFwlH5VA6J7NE2Vq4+cq3x6LSLGi03YGnczkjE6XVp/hIdL7AJ8x7Jyo9
0jRs1y+6odwuGv0lkyEMQ6MBcW1fvA0RX6cs0x07DMdZrHObmjganNb00Va0i4ZgAeqKXw3ecAUT
u/Abbf4o6dNCkc8565ZZYKXK8JHhuFs7z5+HCumyPstVDOuWO9IB0G8XqaRKK6IzYrr6UjZG95Ia
Ds5Pe1EakrXRvmvHElW+uyATGnPhot8thIEuDY43lvjzaKkrPGi3ppvtxJTS01k+FU14HxH10zfQ
URzKEDN3mbwYzUs4YhdzonGrDPJqhmza9wQXgAro3oa0DwzO2iK0rodxZpMhhYi8AMLI/MRqH4lg
mTeuE39hZf2kW+oQjvFFt6dvYWqdiNdCPYSUnBupYtxuvdSLfWKIcx0muRVIuDtpnu0gmFwNPVu0
mnt3I1V4SXUbdn51z9k58RGrHetInu0pORhq8aOsPhI+RRCHnsEYY1olU+vOG4uHbmLDqOZ5U5Tl
Y5mPJWVxdsJvdNR17Zoha8BRaG9OzZFW1F7LEGs4zSmqu2cciic8DrBM2Gktd5e59XuYLts0i+6m
kJPCbNeo7uOtoiKzm+5bEXtnrURDwE03Tf2p9/J3aenRCoijy53cKzPdShPRsUhn3yrkIZ70h3aV
B3elpgUA0vzZYQanRsYP5HWEqe73XrvrUuNQ9ObL4IogT0G3oYYPLIR9HC2atapoWN2zF7yH6PZs
MDcIE70M9Xcf5UetTj95Xri33OWWxjO41c54nEd6qmn9XBnERFkFBj1tSL6GqqIHi4MBFZx1M9r6
TRhZn7EfEkKV1gRXOHgbk6OX6N4uisLTkC3f6tm+6WpjbRPmcHZMbpaoGm1KZ4cyb66NbThL91IZ
VH4Cc1ruyk3c6Xe50M4IupdAi6xd22oKZXtMRx6JyyGe5as9pvODx0qzwcJ3niaXBjceRFT+d7Um
X00TKUSdNC86fWMfDtcua4c8KFs+tRviaV6Xngamz1B58SFSuAzRTF7X6O+ySFsumqlOCIsakBu0
expVfCBYRJI9N+VG8Kc5mzfGQD5HMkHBWorj6OAWmbv+vKh117bFy2TwoKWo7zZqwo/YzAJSW3KT
Af0gNYkecby05zpUEvCCBfY+hwamwjuvzV/1pBaH9XGXFmWhV7KbEz5lvbpxh1Ze3BnjlJw9q0Rj
Ux+jWn80I040la37dO33kV5t9CI7N5G+7x2h/MguPlCmkkhjmQRJuY8ZdXbSpadsALKej9O2NbuX
2WjuvQnXdVk7N6kR3RROussdMZ/KKf3U5N6rmFD5sA6fbCstt30kSbjoxOtSeEePwAHENkm5Lwd+
sNYYu8pIug0AueGQ5jlDlrJmd4xEoVsPkP5MygilNExx+SxMphuW1LamkYTLv09KJq9XkqXAHu8h
NfqpgDITXUfWVCaXFNVRWV632Oc98fBDWfkXOIM/iphX3Pj6JtIQUOostAFrFfcDGzcLJ2VpbZuQ
SHXUymtdo6kgHrvx8e/fhkr0hzbn/72Ng0gaHKaAovjTqDLUdY8qQOfgbn6M1ZNm/RML7s8/n8xI
jGdQJfm6fv6uWm+WVSWL/FKO3Gi0S2kb/159/8XX9Be/v4Pyj2+IL8oG8PzHrwlXNCMguykuLnWH
fWt7/wBe/iPJ7s/fz0/XWsjMiHECJSgF9loRZMZOkS5JHtK3PN38/Uf5i7diKi2hbwqb3vcaBvzj
Fc/dSF8YaGYXYlV6haDbJ18pEgHbMAkdf/9e66/9/yLH7x/rD5eFbsOP76UbCRQ2mecIOQKv5UQX
8Gixps7D7u/f6K8+1I/X/6cPVTr0O3v31zciBK5kWhfv2EfWrbj+h3tt/aV//lCeYehAASz6rT8H
L1h2aVZsvOWlBZeVfxmmrR2+//3H+avb7Ye3+Pl2W1qbsxI67EvpfknDV6H9B7ezRzwZYEcgjzgs
/nhd0ia3O6GZ5SVlBbQcxmz/weJFK1QnHpbJiwUZ94/vUGol53uiMi+L82V0bhgY4MD/h7Xrry46
NzFCd2GtcjOUGz/eXR7N1hImYnFRHPzmwAXZbN9hn6pwq1n/cCf/xXvBbkCXaTiuY/xqSv1hnURe
RJMttctLvNbU24QM0nnrNH7FGev++8X/ryVoTcL7fdH9E97D77vu25/7neuLfu93IrqB4gNbF6Mx
hhye8t/7nSb/hAyGrBmH8dwaf/Z//U6h/4IUh13O+1V0syYW/tby9H5Zob7YhHgEflWC/xstz+9N
1R9WhpXvsa6sGJCxQQNPWH+/H2/IoZ5aaImxdWknoTOqH47jLAgpTi0L6VazQ7kNMLybnylRrE0b
iXdlueeOSfHGXoFoKVFV+06RgTtWEA50KttUVz6VT7+Z2oEEVGZywlMIbav+bfbK1ziJtlD67rG/
7Mu5uzIt876pUeykDa0RrzZbKm/zXBZosiPNeWozj/RKHk1QZeHTUqXPNhxG1BMLHbKpuNiRdTFG
ufWa6srJG0AIi3VcCMEKyM90gyGesOcsW9OtP6AT3fdjZF8RqbgHJv7mJrPvtcunCfMc2ufCJMc4
y3wpinJj1WGgTygnnTr+NBr9Z5KgBBiA+GD2WErqlvDWIraU36GeoHVg3WRFc0W7jpJPqY9m4Ag9
aRX6h9y9JBhNgjFqLqk91FdT0cEXS9DwOAURwlmsmC7SGbhpZaXTn+tpbjZi+XDNgSQT4bwvCV8u
B+b4zoRe5set+sbB3btOq/xoY2/1Q7Oe6Uy27qUFa7J1nJGrRvPIVwjHAzIS6KdEbDEILOQ+GdB4
4ti1D2Jyojs9soz9UqeR30So4YvSinxYpUzbCiva6nOeHixryrcaHR7CEFcK8QJTV04w7xAtgM4D
u2JMM9JD0SY7GmQhPAgr36qiM/ddRfZZaaVnGgOnpUsvWWkcuzlaNknhfnAElX7qFGKrtYlFgOqc
bgkohpdCvbTV05hEWWGwbKnG23epRPg5qX7vmTRcikiBFYbZeI880d33tR1voeXQWdfDcDMMueW3
lqXd5ZyQ/GLhkzaTpAKQuty5kdYxXxtdf66ieqtBggTtliVX9I7HfWTGj7PZ3va9Xm5jzZ19TM5v
1ZoWm8QS+mjjiavaQ1gRGSs9e1m/osQsP4+tnT6VYC/9NvbKw9yDCjenqPKZhBqwTdCIxTW2M0Ke
+I6V1h/cERFlPOJf3zh98jUrEgcUkxNuh6ggTZIM5d7Ot2FYopkBgIdjqyTiUVgFJtK09zVsFITN
FnkgGSDcLcZ0l07Eh45FRqGR0v/NzfwGcG53gK340ZXLG13zeEeZ2Ps5kvzrBE5eYK3NZ9XIo5xH
Bn+aM+zdsBT3ptZ/SryqI26w65nGxeYEwobk1veR34oeH32cGMpN68bNnlyiR4LWDYa3kQyYAl+V
zMe34zgbvjf0wLpavNGglplPY6cuS41WIFN7y3oaEOsEmF0fiya9ctLydnTaQNOc69b+jEPw1Fdy
eEHk9g1P3XkSmuaX6FY37tiP5x5I6sHzaJEl8EdoP+hnk3eL6/g0DOIDLowZGEt+rRNZ4Q+e82lx
QUIn6eL6XVt8bR040WBkj1U63wHRJ209gWG8eqPLwmWamBhwM4fY3nw3tw0J2ibFfy9b5NNOa9m7
eeYSGhy0ey16yKfws171r7VgeXCxqGycTJ2S0fgyZbTB2owA5KGtop2Bz8BILGxcQuE1JLnEWYwC
xdRwjRTguWdEtnE0cetNjutXhVMeXdvmf3Y67uIspzvbVac+1Q/gB0uYD+Eu1avmknjd6oCnW6FN
3qab1Lc2JPXJHpINBGD5Ch2ssLcAZa5Ls3uvhEOitP0CdRA3dkFQnFreYCVDBK6mAx8638UmBmpS
uTe5dG7ilFXGI/3OxOwH0ojg68o4aI08zKRpp/T3fS1ZY56LM3nD6PKS/K1jeuKU1g0JqntNNPsI
EjDXNJhygz/bX2I8MEGb9B9t4tyCFu+29IiO3aoy6FcFicjuoLdq7AVrMOt8irv8rkCgYCTxY45g
IZYl3WoUDD1ShpyEaNCZyi9DLHIFcgfCG8/J2u7GIdMih0Cz+i3sUR2wj2nzvnXN1kXlmOVBJMt7
HIBq+9+z0fdxsE6V8a/PRgFrivryPzCYu7/SO/HaH45ItiWo5SkfDI5BnIl/OCLBRrR/Ex+v56Df
RsLuL5QzVDI2vgkYaT/qnZxfONPYNsRD+z/QO62nt5+OSIyl6TNwTlobD+LnM3vhLF5Ja+uSD8Tm
hoFqKv0qZ9RwVXIaYaIli6c5jXiAcfS7+G43qV0gP8LtH5cagqcufZzgAGTu9DDo03kOkffWsYQz
sEIDABFfgUv5NBIw5UAVsBMQXgj9/WZ1E0wTao5eBtNKIljy0S/YhFBgeX7oeNNewS0g25pY9O8M
vxVqAH7U3Kq1k7m4BAanqYsQh2cYJc3rvGIR2lzMW5YJUAkwE4REu0lupBmQ7RBY9UKG3djh6wW1
oGAu5LjEuhXCoFqq4WR8k/Aw0hXTYBvOO3rDJBggOEjovr505NGaXOQk7GIwrF9kJPauUy/rJHYX
r0AIC5yKuSIioLYc2hUaMa/4CI4kb3MVvhVwJfQVMGGT60FvMwkKke0zGBTsnfTfVyyFGlh33Kj+
GumCVRl2RQ1PzUegsuKjum8yNJcbKAhfktomPNVOgOjbJn7lSG4B1Bj3Jke3Da495mV0fhB5Toy1
xuxk2M3w6nqDwo5RqW5HFECwCCdZu63VLp8tPcghsm9d7Nt+5C34OMyyvWaKPm0yNDzMuJJ6E+YU
8R1SehqoWcypCUz8rCfhttTb5JToVb53vbF7MO1h+YT0PEZjAFo5a3P9GmEu3p4xy14rhUiUvUa+
MHMv7ltlNLcxDeuja6jp3HjICoY5r65M2QC/0IRIz+FY1iv5e2Kct9AFXAo9fJsYybsbCPzNsTT1
u6zyjG0MaetJx1E+7EPXlJ+11Is+hJv322LlVI4d7vcMdOVcmCSqrDTLYeVatgqmNqDLDsHNBPiy
AYDZAsLUW4iYWtPfqJWRGa60TIdEVUwuEDSdlaUpgGqKla7ZFDoD4JW3ybQPZHzE6AoWZ7lSOeXK
51xEZmyqldmJ6xrJwHeQp5k8MA9ZyZ4wPquV9snpcPjkAZ4/SgSXfrxSQQHz4JECFDqtxNCiTjeT
C0P0v4v598XcZlX714v5o0rKpPsLac/6st/XcfMXCkidHo1OvAIw3B/WcesXaeIY/m5CZun/rc41
fkGP6lGC0nD5bl7+sc7l73GM/r+e9d+ocxGo/ryICwpqF8kRQiKXX2VtX/3QDGEYjcO4aYvb0qgF
pk2zZ/SI10AnFd2aR9Pzp2kYYGA59XszFJ+Xaon3YCgehMaSaTlvM/P1bd1HB0XV22BI9DsXrn4v
nBu9wxinpQCRqpqRbVh5w8YGf7cza8nNWUc3GlLxFf1DzRFWl3buvmoSRJ7tjV9FrcHZrtqgZ/bg
V25ymsQaxe6l1xrsA6VX9qaKrQXSjBw2Xci/ObOC0oOYXPVqnYzvliKb97rpvmmTsYvHzmArig4O
Tu1yyRoKmxiCYjO+jq72lHczVt3MeLDs7iVC4Y3MW3P3bM/yEmEP2NK16iDgZAqIf/TFcRbEpfYA
tMZTd1SAl0o0uR8v5gNhUWDX++RuMjHT6vY30RV7S41fWpGchDkjQWWSNrnmiXwD/rd3KHT10lvJ
sZpWdUUWvVStfPHSN2tkiiKs99bz3pXZXtSSPNvV9J4JF9yhpS8b15a3UA5NMIjjoYgTDdGhxhxG
66PdnCUPFI83fa3dLFYTrrMROl4m9Z/N6B73TMt+YrCCjbq41ewRCzpUDt/WiFeJJuOUxjLap1ov
CQzPcYn3OvjA6Um22hVWbIW2p7tyKxiQuldc6hkY4Jw1DMPr0tzP3bh3kVdtVNLHKCZyd585sWKe
jvhYDiGd1h6vh5Hzrw6sRoW2OHQd5BP9rdR7NjtUYJrmNXslSrgTJpa/LDuadpRh3xkj/IILg3Bd
HQvNVoEyNcaHthUGIwJg6Po3MZdiNfq8pZq6Z2O9JXzjGKUOzREz3Yu0eio6cfCMCXP3Ip+6tIEq
EX1qKzZK3dSCbIHFYfdyZQx5MX6M5aVMkUBE2AxCp37W+r7d5O34pHngtnhpvl1yrdlaQ/Ywa+aM
rIKylOyUj6JlDJBU9bWYvUsmEJl182T6bkWNNg3jdnKn6uKMOEq1VLnYMRL0Spl3GDtOIJmlpi9d
yKqtt3W4sRT0CytLn/ts4+TJk9UZOXdggoraaDZCDH3gduBPwFMQgjiq+jAZJjEpq0aCEAyB3mFD
7oK1WTTtbsa2v53LZtk4ZnGTlCbeCY2UTSpPFUzRsjLZv2RTo6/32oNAoTJ/ZDp2Wi1S95XTbq15
QjYVO1tXVJ/g+33AE+QI54gPteivXuud9TG/qef5gdQAx0cFEuOPjXGWFM19jCEgB0HqJ/PRrZYr
wSwaHOnEEYLZHKx6ESh3/jBb9ZkS5zRW3R0Zv9do9jAGlRB28ZBYHsmjhj5QyJUrf6fP1ml0zAmt
6z4w6VI3TiPy4sn5kuA6pdOHHauiOjerCWrg6MqrjtaK3xI8xthavLDqApCZsTUNuXzvkPujJDaT
DQvyiT2Ullnb97t4Ga66EKmvqaJ7GU9f0oSRNipHDO8NiP066oygFUT6ApKGSUdlH08Pnd2Q8MDU
Mp+Q0wGFM7dlaSseuopHwpXXuULIXk3hTZUjcxB9SBQgpTM8lUtVew9eKA7WNLuBLHGl9HN+H9b1
DalFzS7q3PxFofDiQDmcNWzdAXF7PNh2+uxIq0M/PhL/4o1QBc34bSor6fci2Q1jecWCfj+Lajg0
wBjhivV3tRhMP0G7PUBz2mNsXUtzC/eZrB5DF0tXKEUAjhhw4nDHUbGErkPmPboKonmUsS2jnNcO
w4MtU/cAVfcNN9TawlR0fUrMXTJttCBatA+0DewXsUo4+ml3gELepMWz3eTghEThakE+RSSyhEt5
o9Nb8lXVvBhuEQbEf9GRmydKApOOXAxnclOxZkNJ13dpone7vKveei95rmpupDEsd3MXKd/gkmM3
w+EwWhbut0mPdvSU+U6RJx0tC+Ax42FItQLFS2WDLCJCL56zu5E9EXYMCLjExnvHJCMKONByu7kr
D4p0Ih+9TnKutQV2nkivZ82qcKA7kFH1cQTYKJ/sbt7DwftqV6uLqv42Gfy4VqQvUnZYPxSliezL
M7VbAwNnucbPQpwVXRzdoDWY1wr7uLkeQfXqpcnT/NguzZNl8uDnpfWsQfDrku7r2OQ7ZBlPbPb6
KZEAz9j/MYlFFydpHr0lOzAlBpkLog5KBsT4WXA6xX/urJkZ1SDAuyl72JiO855MlbYpVEX6UFUv
u7ly742waLY2uiAkcVO5rWvwPhjEw6Ou5i+S4E+u52Dussx9nEoimt1Qu0qi6ItKnQ3+GKZ5aQ0l
seL1Tn1bZUg5K3q8W82w39FYUpl1CdElFEppI2/1Xn6qhNyHdT4dlsj6SPXRYY2lSwcmJN66U4nu
z+Gs25Hx5evIlPFzGWCUk9nDBGq8SprtnsiS7VJzYWkttpt4xmSSYpcNpJZ+0bG6w7QjpSkJ06AZ
6lMy5HzVndpjXiefxUJl1OvZIY06Yo5duIB6Z2Z+Y4ZlgMsv3zLl+BpH2kRlGqndAIY8qIphoH4B
pUcsIquqfC7cyMAdEdpB0WiPsRqflIdzo0y8oBpzunUGbf0eyHPUVkg+RPxArdTg9euOPTjAoNC9
J1H2t1EO6MhqO5hkNZ2fRvI8WUO3myJoA2ZWHjVOTjyQqR6MJlJVaF8TWMGIb4stJD00EocqqJFv
Yz0wJZYfUtceNZQ3VBYIgTMv+3AINCGQ0XwfZnUiLhFMkmO/t4OD4g/0YBkZV2GJ8gPqoQgmmT1H
RYEuZVJm4FKS47LcYbtEdXLmYCBoyFKXGn16Va9I1JrK+8ZMqmPYKP7NzV4jzaZ/O6aPhnKZH/Ta
vVN4EhpydRTe+Dxx5gJ0stR+V1fltunoFM52H4Ema/g4AqWbOyqxrSpxcpvq1nVnZhYO7Aaeuw9E
GZAhRhJgosza6UP/Ug88urEy7vIIxTb3wrUlk25b2indvax+kAnXiEg0i+PlxDqtMCMJBXVQiivD
7d7TguBpdCXPzQQ9vOj1pyVPrqY5fzSFVmzGliXV0d+IRF9xNyXexQ5kKuXYuW7VrtQn19dJpmM5
xGfdyfSbx9k4HrCA1FP5bSnUFW0VfJ9qOSIZeUkAseK+fqoHBM4tpzwSnjhnNtyZsTc6e2hD/JK9
s9cn9QEPpmENnl6tgjMfQ40gydOXniZpSOsfduKX0M3e0q6/CNEAeumMTVRMKLlKdkqrOcyNA3fM
2E72is9oqoephd4umCwTVdfo6W23WKisjdmfrXgbh0xP1XBWxC71CdAMG/HWVZsac9BEjpnd5eUi
X2aYq+5No9kDf2F3dH5nV2Jjq7X/1qC/WidXp+O/rkFXFvS5T9r/ubwlONr+PHZdX/5bLWpgh4Tp
QqSCqROE8JPNxBLMO9Hv6N8zWX4vRy3sJB6voUy0CLK1PYrE38au4hd8JryMk53nfh/W/hvl6B+1
EgxdCcjFOOkJk5+HGvqnjqJiy2opjKMLQjT8zqdExP4PX83tr9KOH0NrxfdU2j9KPoiA4AcR18v8
nw/1x4K3MCrdq/N5IrCWHn/cezuKi1TtnGK6npj3QOtgH9zDD0UIqdUA4QwK2gcTO0i1cTtPXjvK
Id2TUWlz3SuN0MSiZ8e+llLTyVVscZHgFjGcZduCsavqUa8PWUyyHkozfT9NZAiyoZrb0ZDGXsUC
0nA1pntL1syJB3lLSmi0X0H3m76K1D7RIqh3kapSbV8WqH0eSrXEH+QTDjvrV62a2+ra1vtVw+bl
/GlLLV/Qz/oudOu+i97qZmruOkagRPARPM1uyyAkfrFq8vQwFfqQFyiIEZ1bQ7NH6HMee0m53Gk3
fTx8sjPrsfHaB4UCOSqHT9KGvePKhoU2EWcWcuIXmzNK76MRRRnGgD7ZRJM8jWt1oheuP0TVXk84
2+u0F5ZqvlK2/lqnKSr43MFAwoRGJTI9gBykKCIfXWZMNGoL4yExBRytjG9xXuWb2fO2cyVTv/Oo
ZSPmfbtumux9aYXLqZnr0xBq+6nISMZJoj0uO7WBjMlZs6Ytl1wXo21tQwvnCHDt/bKoY6iS+xX0
s09LDKqRlgGYhpUTtQaTrEltVVw80PM8xRajYs578p1sNHjE1KuBbhIRQDSWPxn0QgX0HXptmwKU
xFQ316PAq2Sk9Gwz8us4SVMoR6n9YAv2J2sSWAQ4/nO49cxNEeK5B8d53UiQG5GHHyFD2l3l+jf6
0F8N1N17RabiyfIK8hrjzE7u6pImgDGJxEbpXPiQRbQrL0sNRjf6OwctDMjaTWc4T12s7XPO7Dgk
FXRs2tAWwaSFezeU5c4j9iNV4XbVThZyzA54Evbu2JmbxuKLt0vn0OrDs7HQVqltBvOe95mAkutK
Ry+eqOnKzvXbhR86GCUZi/H/sncmy21j27b9lRu3jwwUG1XjdggSrESRomp1ELIko65rfP0bcB77
WLLTDsfrZtuWIJR77bXmHHMxCYWRs/Ss1sqbJA3bXEwXGo1HBoyMAHNr2iGMtlw9AsZj6reUaCx+
w6eO7nnbWM1eoBolMvLke6xeqA6MBXvhR/yxjwQy2suqVy5skeF7Fccy2IyMwxyYSLQ0yBYzA+nG
GupbEXerwcfGoAf+SXQzyzGEkJF2GGfyeKubxINOnXJXSMGNZaW3WP3hn/TuzCpXzWFX2tJuGGRg
o5FBHoK9TgwqTMuEfZkrRLO2ojmLPtpxfns9kp+gLSO81RIwlDnWHVUrIHCKId4MUqo+grUzH2p6
4Gyqx9Gj7+DF5wEUH621RFkJ4lmZDjbBspRmw0GCMCGg1UyBSTpTz2tx0RXQ4rBR42FKIJXQE6OB
xhvGhIhxiD0juUvP+jQZCH0D3biTaubLXW2Ak6fzTVIJ5CZhY4QO2PN0Y5vs4cABsFL1cyOjStFK
ppR+VwCAUSKyVsbrtIhRRvSwUjpCnl2iKtmk4D6i1Va29BDMgTLHwvty8IqAiz1BWo6N/JPwI0I9
yjHglSP3Vug3sl/EXMcRGOzoX0RMTEnV9q6Q/35qB5u+H+PqiH66J8nXM2hW04qnuo1XjJA2XdR8
Nqv+mOhTREkJoETrk0e8qi7+lCdQN+y+GBALhsxstSIqRNAqyCbGi9rDTw6dCpPJKirV19RoBpjv
+jLKusdO87ByNJizwvapboRbVNzmuHdVz7xXsvqOMM17XcnThT1E10MyXmR2v2lKhRe8j+79YCRU
kFd0GA6dl6791IOymhjnppmOem08DoF+mUdknIvuvp8wqfdInU2ck50AizPIKDWFvcqM+Ik6nIzA
yKAfpesgcKllGyvc+vVAdaVlJFrrxrUycdfqBNqpn5k3ZRfuGs1AFhDKj6wEEPORykhhdsJU02zy
yL/XKeMWmkyedKqt+Nwsoaxjf+Ls08C8wHe3IYcd+I3+aFONeUQ8F1Z8BPW2iSnXa3g1wMDiZ8mS
lnofbsjXxhDXes9yE++41suQjd+CjHVaNuNVTRmL5RmGrixtKt148jCgMYJZiKa7Bu+xtCx9chkl
wfgIg5Mshs+e3KMVwckmiwj67xQebD1ZlyQrp1kzLeMs33Q+ET2Wnc62HuaGqsrsJnwyvHwvV2zA
VDVv3CxFuJAL0Z9kFSiAhaeOvXH1kMkBqcOydcRBnS/6rCz3tWL6cw8mdXXDeAnBEFHN+tJDXxg8
L6QiMYkqvIUmwuR1aEKThhf5hst+VA+EzXqff12E0Nj/bnD6RUoriEz/0vm3SdP4INlUYl0hwsmT
LqMIT89dbH8S+vr/7xAf2vojT7ERtxxCLumSkqBQHIfo9OtjzBK495WUzWkYsk5tqBm69uE0VLUd
096mr0CTj4/jcUKCMtxI0vLXh2GW/cNhGDeqYtaeIjj/oKf20Z9oZtz5xxZ7XAn3v8YHJJW3rTjN
PlCjxgql/7uV+A+FhZv0z1sJ5xmN81v1XP+4iZjBkF83ETNLTZndBtiLMKXPg/9vwgTyZmyd5wFk
O+J9A83Af4UJOpxcWzYguWtIK/mnr5sI8y/E14gZcLnjMhey8Sd2dW3e33z3xMzbCIguPJgGhGfV
RqDAv38308p8C5FbZ+VHWU78DUSUNd0Zoly0ft+a3ej0rVpfEAmQrxmhgPMZ2lMWCeR7WfqpEmq+
rKV6A65IX9laNTp+b2CiEUHpIBycFpFERzlorBn9bUw4fob0VPr2fYDLzekQHjhUDnuykC8qXWys
3EYOKAVritN7z/Jzei/WYapGaIM0v/i4Njs/ZfgQC303WeGs3zcPvAi3vs6AuQktLGJ0GLMqBOJW
Pau0W4mc9e+6lK5JHwY+Ydxz36abDkZm3g8e1SlDqwc7ye+NodvbsXLRm8mNpKeHBpaKQzzvbVZ5
CKEUYta9fm9O4pzhDsQD+qiS7eSXvgsvzgSsWVwUZv5AOt6lFqTRItAJghhgOfFQPDfsNBbZQIaG
ZDarEFP4gmAFUjoqurKjV44ry8rAxXfduPAilN1AXoh91zZ5gJdr6NvLPoEY5U+9skbV4EZGCdcM
iDgZYJkjqdNJ84wX9l03cTu6vYUITPOz0yAMdwzSbahiOqWIOhmteRuUnr8qxPhghDAuw14vlsxW
YyfJwtzVwrEGsWMix52uKpqS2BWT3aAkb8GUEvnbqLcG/SAiipmUgPI4Rp2pXiaeuRks/7q8xCdl
AJOTe2tvjOhaoEC7odmBrCyJ422maNVoTbeuWushMBjdt2WmLpI8XAMoZbiU5i+xaeTLqGHQAB/B
TSzCdul4js24CdlmQuqMPlWV9mbq6htqYX/jl+JyDioeutJfjHKXrqIxEXeaHpPJPlooarwQnREd
HN3YJrpy0NvArSwfEhnB8KtxGFRH9Y1xbX0BWmZ626z6TroKi/6VBnBfOSDdI0cG6zaVgq49oDch
lapTimJjGzNOTAURn1lEkMHk3qgzLS5nEEUdiPkVt2KdruQ5yJRHd3Yo3+dapznBzJ1DllpiTfYH
Avxa+kTE8iIzhFRHAxsxip6cbXyDhuppCw2sXWYbF15XK3TzIN4lfsR7QTt3ZUUF9r+ZjIf0SHal
mZYnk328HwHoeYD0NB+iXgNaj9w2eTEQRL+l00+MXdMzOJwApAncZhhkjqQSFoto5vVpQXHyAPgF
qSwvi5npZ0RcwMx4aoD91flVKAQudjiA7ArYxRn55QBsYtHBCrTV/JUoQWB1UARTkRYrM67jpTRI
8bKYYYO9XlKKluyRgklaw4KLpifVh05YXUTRlj0+ToOSzpjHY9Cl3vM4Yw3VsTx4M+gwg3g44LjL
MA+how3uJD9+wx+pMjHJebaxNdc2NNsZoGhraKlgM9yQ/fLZnimL7LXRzc7gxTzzV2KYyoVUTA3b
7jK7kNRBPyggG6UwLS+BX0g88/AcTXvylsPMeGw9L3f8in5k0HeHrooteIT0IBM7vA4qnmZd+MoW
g2KA5Ic7Tmy8iit4uiKN0SDqFrhNnXYTY17prKG7QX3MixVMpYdnE0YleaueCxchWuYlQ9eA+zUT
LeOR39Vq5VU621iBXsqefOPNTDVF7XYeY+2V9iVtqf6SvFQMSvUQ27B5Vkw1jMip2xnaQR6F03QY
RMEFetmyjMIasZIfiL99Xf96OeY22z/XBIe37DV/CbOfNBbnH/xWE6h/WfO6bqkCdgJ9vO9qAgFf
FfkiZeKXBZkC7qvOhUJCJhYGfL5BEKmYV/KvNQHs1dmcR02g/Bm+hs7eu3oALpysz+UFXysQiqat
fChUTXbUVqr60lEh/4HxkuJASH3D8Y3MSk+YhGoysJnIrUY/TWhTFdXZrlLpSjVnHBn99Mw8+z6y
qoWtjERD1UrFUo4R/4WxMbPVgA0TbBGxhs3CQE8l/M2v2XoQdSXWWEwq4lR6a83GYlh1hWS7+Dge
6MrJL36ZpE6pDoWbB2ay7PHV8M52IFxy/q9mloKRhFo9YQOBH+Un1nIKOn3XZ+YuipDj9Xz19ICX
sW6ldau2n1I0JwgWoHgm9rwKqbQGpPEw+jlYMFNfBbboLq2M1kYKnXNly5a2rkbIWWQlYWyJB4JV
cSRro02Wp69OC9WrcJBr/VJthvoU1cwzMKckj52lj9eKch9ibSDwM74kmjIgocq+IuuRCE5VORA6
ih6xD499WLzUITFsFtoH0SRwKDu9X5nWAD3B7MNdZkr6QtfCgXgSupe1XrLjpS3SL6xBhsJYsORx
W6QjK+640BF5RtgnGNiR/SJg0cVdPlxNVmSie0AWPXQyA/Mg2NgxXQ4aC/xQPE2hy94k40unZQlS
TbobaJYY4ZC6ldm44YW1rC0Tl3eEdsTE8lx416yTxRryaEEUrc0YJau6bp3WebjzDMk6hKJHPt3Y
3iE2+OHsoLBPvlLa4DEJ2NAHmfHsQwBf9DU9XEXYj7EC89Zris9MxlIHet5F4sF3sSIQBXI8O9HS
zwGBYyXU7iPNrdFJTUETtLJIEEUZNH9Pt1VXmjtVLxSnw4CO9pzblKZrQZN5bVeWowx6C6H7i3oL
T0LPH9B80XVVXa+KQzePXthTOUquJdpJ12usPRX0bvLn4JA7ak1AARm9zQXmErrQPGhHFhnDrUq9
3BuCnB0pz6kHZsWFNbVrAjCeks5cNvKgOChI6h01sUY8rK+4uvCsyxhpmJTar0DbLowovcrb9taT
tENdmLioVKm4HDFJbNGn0yLNp82sRVqkxL3cyJHnUUe+NXTawsRkImBejEFur8yIknoYVwasIs75
aI3ZhU5+KsvZXlfCizSwfCdsde+QWUW9xCKiuW3gXxPP5G/LINmSN7aJS26SFZi7op8V+thLFmps
PfttzxtohMehy/E4ZDb9uaZLHcsuHcVItnajr6yqek4ri0gkEmtz0D3ofdsmdasJIlNcOjJmBtdX
5XNR98ugiLYmoRx2T3KqghEhaHTEGUNyayXyURXtrdHJuGlwdBlHj40Xi9/0uSiVsz61WxO6BPTI
FS0sjfgLWo5S7JB2+RwY2hq70qomFHoR6dapjrOzlauvdsw7nCYz53A8CyQ9y7QsDmTWk8wgnIJ7
nEbIGQRzcj8lpXeC3YPV4WUaxxuCiGkmx9EWm9QJ2tIxJW6WSNdZDLTBlkVhyeEZ9V2l2XA5UtGo
07jNvBnuCzqR0mdq4w3wFwepKWnFgyvpyBgSNXwxLJwKpD5Kre3EqIbGIofwI0NglfO10gAviFr/
pAKmDDt/M8jWMs2lC/YP7piEz2WLeC0e4B+kn2kWOF6lLIUtk82bvFXJW+6156FBNWABkIVJFfbZ
g16ayxoJrSI4RsNM31OPhrCu68ZwBVpr3R/OYrBvkmhSl3YCMSvv5XUqKscGb7iY3RX0il36UJ/H
MrzkC+eOzJXrANyHBWiReMKtpoybYaoeZKXZTbp1bRjFA5H1Zx/6S5u+ZmPxVspygJKFcYoWuqFR
uEAHl7EvVgECAV8LrqAuH/JOO6te+lmBWqZWDEqgUUIp2Uh2t7FqyZUBdUeQzRpdua34S02PDBcD
vIcnke8hty6v4mVtW66i1TvNY7AyQIIG3eQMWU3dRY9SCPWlb/MHfpVwB5TSYy3w6jCigOLSOyTR
PNdZ7WSWtEc9s51gc+Yj7CMKQjeQWCToJpeOjRyGcEJzrTbdfdpmTw1l3liYWzB1xG6DXMybapMR
vSwPuAcn3V6T8PLQV/J9XkVnEkvXnhjc0CN9nCQoHwuW2eg8neYaM8FVlif7gozPTmqvk9DcWIN3
JCNzmwloK55yCHLo/1kbumkyngpPpurvF0VvXUWVfaEpw2NhMCYiFN1RbThklXFVV/Uxq/VzO/jy
wlLq63aWNqElWFQTYQp6cpHoPlCaEsB64h+q+UM15Q9j3OzVSl8XJFUBC3ciQo7rfm6EZHuvyG6r
Ytwpar6X0GocJQ9NuT+GyXVdi8GZ1GYHI2ExsRfp8DRKUoRCxLiNmtTcqlDPZu3kI9LchTqnZFLg
Y6d6NVL8W035QADBlpbmke8tDJoqXit9vdcnegMKiEpnkpXHQK8L19bimxSO66Ic8AJoyimKiZmN
bRATOb4CYus3XmwgA5GARdHl7epqxuUQkzCqIEuilR6wn/YNWHDDDur0ayFh+YPP1lT6ghAbVBke
4elsh1dty7gmkNiXUyHETeukWIyWMCQ3nWS9dh27k1BeE4LkhgxBs7zg+1MTeucPkzuk2R7x1b5q
9Jtcx4pWIZjMECo0xGJDlpN2mSp41hPe0wmPa75NpOYwSf0jDYiX1qpWfoSS3ktotwswBym9iT/j
AHypEIkaJIEY7zANrA9MiAZjKiPLTDpCdgmjGI74WWLa8F3dfPpx9vyBoPCfgxgzbkBQ2qofLMWh
lMqGLhTpOFifqn7dt49D/tnXGBj+bsr9s4JXY3z89UgfWqa5hwxq8jiSal0GYjYXKqtp2ubGXdQ+
hXB7f31iH/rZf58YbxMBLUJRcEa877epFrwGyL7+qZOemnZf+i9Z8vLrQ/zsjKiWKZY5jPaDHRso
1iDbZMadUBxF/bolyjQB95j66xAYq9pc/vpwPzkj5NxsWlAbCFJnPuwYusyo1VFuwlOY+fCiSihF
jOR/c07v1Q5ftiXvDvKhR197UqMbHgcBQrNo6BLYwW9a5787jfnfv2uEds3UwKfnCFVxMGZ4MvpN
M/zNQT705+e7/+40Ptz9IibUvkvr8DRIGh1Cxw5PYp5qmY86lMX6qKK4+/O7A4+C0A7dsHVEJ+9P
Kw6tNETkF57M8ooxDuDhrfmHM5ovZwWoxxAGkxoVVcr7Y6CHlAx4x9EJfDPpn4hCcqdPbn99Ij+7
dHBdbaAXcCjw7L0/SN4HphmGDGaq4jEDj8lOkSyGhe1dR+1edCWGtqtfH3F+pr6b2fx9Wt8d8cPN
wnxtV4UyRid5kBZdfU8j/TcfA2X+o/97CJLcidQzMSeqNp0A3tcPH586F7AABiU9RRfVttmyeB5y
R1/pV8FZd7JV6FqO5P76rN4f8u836fvr+OGQxOqlA8Ky6NQZBAOQ1KjafBTyza+P8vNrx8gLxwhP
nv7hbhkT8bVNigjOK21HVfYWYs1fH2G++v+9dH+fh4DigsSKsYX58cEuajVUxppsSobeC/q8VJtP
oSCWOop+cy4/u2LfH+nDB44dMUJt04hOiv4WWFe6d11Ov/m8/fwQjIBmFBXIqw+PWqjEsOAmPz5l
2VEHeTYg2FFb4zeL6s9eIR62b0f5cOtBkqGVQHN0CuOXRNp4mrSaqaRx68TNSYqJYPrNPfrhtFQC
KM0ZTcVSpGAYeP/OEntnFqmZJyda/lgKAGyU0/nXj8EPD9qHQ9BL+/6znXU+FzQok1OPdpikFmJT
9d9ctp8fAuYR81SMXx+pRNEwoCNip3Wqkxdp2kJO/c0BfniUOQcoWzrvCY03YpfenwOfTpP09Ck9
Ueelre4gDYPPt8jsty/X6t+uLEPQX3Rll2/J/1yiO+NqvbGAN+P29f/+9z8jXn7wW1dW+4uPMTPX
WbzJzpbH4NukVgDMYWWj6/qfnL5vXVn4O/hZdAw7QKVk+rLfurICY6JFTJUNsEfTKY3+KDn1/as0
rxQKo2IwbKwSGm/Sh+e88bBNJFOmnjKgCnIcXpg+rotuXH13ZX5Sd6uW+vG7On+DCOpiLM1qjnb7
/cMoEaQAYyTu6XURC9D4siVWdFYQQGNeyFUsZVJvQk5o8qM9thdlXNyaatU6BelEDsnYDWnESrzv
Kt1GAcaSqY1s4ZCtzxmD1UNfF4WD9o32xwzHCerkuuCAjlokJ0BwvMMmUkCrVCHASh1mcrgugFes
fZkOjg0WyMmUelpS6gCUId/eMzpXFXqzbEn5W9bxMFuq7iXLhAXa2jShtQewrOznBv2aUdBZSgec
lDAuQxnO5NzKMnB8VHZ32Xupj3lZIfTbShayjylBnZMJ2q650qXJ7UV7b1vVG0nST346oidibhOj
F18mY3jSK28P7DR0SXvcGLZXreug4g5V1W1u+JvQEnhggmAPhv4T9PXY7VK5WBoduqskHwpkRz6E
F0ZSrtJMT2heZtt4dBQWjvAxQYBaaMsSFVRr0tKo/UM+pO0iV8azWbZrMAYbZqDSomHYyB+qAbRt
MkBDqn4tjUXipE1pOab9ZDfMIrVh2ZZILetWoLoHEWKR+8L9g0dstp+tkSY1m6+D1LW0JTIoRiW7
IMUcL9UeTxZ9kEUfKKEbK8mpTILIxQm0nlJxwLCBXU8Ra7vj2gY92dKSgTmmKO0n2AcbeE/nPJvG
pTbVdwCOkZrWtAu1hkZA324VPe6WlSa/yAmtb78f75Iw1NeDNh3VgWipOog6uhDVq5KoryrSyzmP
fZMn9tak6Hbivl+De7pKY2s5mLlxYWp0Rowke5mi4iEw6wDNZn5DOEi0FKWJeLOFfIzlSNU8F5qL
Xa14xLDcCDy6yhCUzxm9hsqdLAn+tG4MGKLkAfw2rtDKrzeiBy0qm72r0LZfKCXyziTRKalGRiYe
E0ChvfayvQ11xe0mBsI05IruLqZ1jzitVxgr6LNvrEUQCwtd3WpMNBVYTc087rbKZyJuzkosvSEB
x0BDbEXO0whSqAMEUTfOYGOU6GNlK6U6cCSsbFZFYgxQS35vTE+o7kJwOX7/aETYDwe/OPih7MEF
HOBEMnEU0EwjIiybetP3zcPkMcQc7Ig+ucwuK6dLzyurZfGJoI19IknbKcHIFPhBsJqGEWoXhFmj
H1OkjyjThlY54y5eD3hCY8JvnIG894z+Xl+tCMDbBqLax420gfr/PCADnXS8vWaCi2qkIS6uu74G
ddTuitxfJPNcAb+J6jJ6ZgoDxH/SVr0mNp2qMRAKMJZNRbfWzKhxZYWOvN+Jp0woeNTyfulJ7BFF
X6xbJTuOef+IHhzo0ijumka2DoUUifJm5jL4FnrSTa6maNp+8xmdK5t31anKcoGRne+QSgwTcUnv
ypK6xgMIKHc89aNjLsTa2w3X+WEbwSh/zu6LFdpxB3b3noCWdomgffvr4/9YUXB4G7cik0KVsuJD
4VV5rd5JRjudOvO58La2jIVmeJJQaf75cQiUoC5ijykYQL4/TZr7zA+GbjoxRQiAdyTJm+1v+7b+
zXHer358g7icXE/WQAUnAq2N98cp0VrorRLIJ0PfVwZYTabv4v7X5/KlGv14z74/mQ8HaQNZrlWS
U0+dW9+RBbHqNvKrtZxjCw/EcfuLMxL3Reqqm9tLa5ksLrtD6N7VK291Fe36xQaqyEWz5D8umWYs
89Xdr/8+db6YH/8+3B7sEHSavfrHMjFpp0nJRlk5YX679K7klXxQ7v2dioTDaZfjYveorAfnsnT7
jY5zbg9y4Iq2pEva7d91/b+F5HzN/3m8f/nWPb8+/1hFzj/1rYqcx/S0R1HTocGERPRdFan8hdyJ
SpG8X0sAdPw229cIlqZKtExIm/jt+fFvVST/RNOIhCKQJOgC/my8r2nvnyHkfpSpoI5s+LeoEfkr
3r9IHtYzTffC8YgGWhvJ7oIF2GP9t2+HSe0x26Eut9XsgtD4szWKTxQPEsZqjAd9AAthDGsZBZRN
NqZ9hFaZA8Y3PtlBfEha+26aLbZ99pkGuFtKOPpDGltJgQrHqg0Aav0EYCK9oN9Op9/rbAbNYMnl
koEP3F7SW+I7wzcmVwNpTMRb6aiEoFFz6g9xYt754/RJwlL9t9+/bG/jsDlVtrgMAYSv2YBep/Fw
m+cDL0fX7PK+I51UqveKBd9+yDo3HXLOeSIUFGKa1W5bK3CxSXiMAzM3C6T7toDl3jBdV+1LeMHu
JAKYuiYgPS+r6QrD14vC0i0ttAUaue6KUF5zOzySy2os/LAcryfE0mHnaY5S1IgXEffpkRY6hDKT
S51J0cqW9Md0itWV0XvmaiDyfmfmob0se4XESOh4lC6I/Ps5lAYxpD1i++ztaaEp7bXBDBCYvH5H
RGgZO35YCYjqrd8AgdJzqorBINLmVul7mNxoDspgqZeNPCfY0tokNsePgJoFfiKWXj6RW4AFm2CG
VVwD/pgtw31nrAh+ho/o++tBFp1jTlQKHlM0YeKAZbz+VkT6IZFrG53X9ARpJ0BUzIMTeO1tk2VP
IfNFT0dpkACEEDVJrO1+qMwIG3vGSov3KogLMr/N7mDLOcRnUlAgId2PwtilBa7NVB+fSyBKtyJl
LpiKswI6ry/6basO6yGKvE2oI4eTQm9DtxElVqntxxZRmC0xVhulcYBZZN1JHfNmo5Tc3lZRqQBl
IfkTf3W/nWwssnKOFkv42HI7GI5dWazDEB6obE6nTPVcrWVGI9GDYdJxNxHhkOjq51zjmnlR+SBb
ZCZ58S3jvkc/rU5DEIfO0OAIyEjprLCHQp/akLxiOgnRI9nQ7NKWSE01mh46BtrEMTw3Y7hCwri3
oxAIXfFohH2z9HBsOLFMSkJSJTetqG4DqCm4fJHqyWa8R3GyKiYF64b5WNpls6ha41AV5nkKxFrW
vHsFQcEaKBMuu/ZJt/yzmuSuSRXEkOU4FDIub2NSLyILLWlpZBdT3F2qGpaV7DXGFsVOJ8KI563z
sJcXdiJmTsB4Cg19aSE3W9g9xqPGrB+mth4cDCjPYDsz9JExhqwaxy/OowUj6BtjdkANOSFvWmXe
ZJmP2Vh+nKzgQEbolaZKa0WOsUWU9qtHcmNq44XCwL0lgIMH0JtnzMPKi9Q3PSLxMeyUGx7jB7Nh
N6Z4OXs3BpW2hjwTkxYS41PukRWS1opwPF81l4GHVywxAnKTGoI49HhITmNsn+OY7woZBuXW6wJ5
lY5K72aG/Wnwmuc4KU8eXjwHzaO3xI3oOSmIzlUV6fvCqsVp0qy1NOYBisqujK6LTHnxRg1fXTwB
lM0vtMn/pBAv0ZK9B87UllZNrALc8SFmFEHNWJ7sDztu3nLwlVAJg3hZxcUs3SjtRdHYXAHmnHyL
8NN7orqYFHPfqMoubJVtEDTnig0pG1Zta0zikuJ6n6ecZRiXy6JBJKhPkljS3FtGQQrXxBTLLyvd
v0v+XLP+85K/Sv5nmVdEpv+46s8/+HXVxyrM4k0oOa7gedGnafKtd6T8BZmKJZchJr7C2UP7VeXP
0k4xQLNJFXPn6L2ij5pX0NwmBBuBOA2uP7EKUyV8XzrOKn9+D5sRAEiUz/ze98t+6XuDLikdkenA
Z/o5M7kjPFmi24Vcpa5O0jQnK7M/ftBF0ThYjJg4mxJZUimE5Frqst3kY7MD0FCxuxX3yHnNZUVC
plPQo2elZHCfhlNI6jbQ5Ea0+ar07M4pQeEi6Z2u2zkdWhusABSheWsTHM1GMnONiTBwk1Bp9gD+
ptLMLcK/e6/H4d9FxXWVB1hypNDeKDKTUsHeV5P3kHYvc8Q9cwKpspCrSHFHnc9iQch1QjbROKde
58RfowR/9Bp11xhFvQ/69lom3sf1S4NBS2/IC2PQPxlgDjfNnKxdDfro2vnwZuTGm2nZ0RIAb7us
S9aqQXsAf5/tyOPCkEpot9oFV8Gc4s2f+WJn6THWYbVqncmUnkyGuyEaiXeXlXXMFwvUivEMT9X1
c7ijZAih9EjfDAyNA7xEJU+KtZCCVyYZ596I/Q3MQhKKYC+s4n6iYAklFmZpOKI8wUjqq3ehZx1w
5qGhVpUcgDBsFKKkoCBndPG7fovn7SlVEIaVWlOvMf4dp0n0e0se76wk6q3TUAPeK8hrgWXALti+
CKTi89QGOsHOmLnrqBXk2sKkhSM2rNMQPUUZQs0vsCteabF6CzmVhO2RAFt1NrICjHicZFQ4+ADt
9qY1Ev+S9NdiN8lpZcM/jjeFnq/6SD4raMzpK1ho5jEbLGI5vJtNCECAEeJpEsJnzUdIUxgFntQc
kack5ScfbRuVhr9WDfnGlGAe9RG59C290MTAW5dxiYFRetFwj//z1dTSC09CnMBay2SwatKFKbXP
1BRIzYX2SI7UEx01ChHfXI+2wK8bRBtVxsJg5vVyaFF/qaTOlbhvCXRaspYvEUJeGJ55UFqJBiWc
pnTKPstzXlXXWgbyohGebuzri06KXhRDetBVuL7BcE6C5mLspBucLU8NO2T6gizEfMGhgFyybN8O
WbQf+5S75al3fgrPKKi8G29gAYi4QoXqC1craFXFln2J/uPRM/tbLEUE2PkE4QwSXTQzlD+hoT33
VXTpFxX2TOyTltkde0WctZFzSb3wqsKqDT3JEZa184seaVK/LyQdNU5zN3co/UyHFa4fwTBttIos
PZlAIurDB0SS1ppAyhQTOwBcPnMUtKUEqGjMh4U3dBA8w+qhqtMdnKlDrKnbQJ7u2gz4dkd+pVNq
/baomHLzwIIhl5IzuLVPhZYC9o2TaoEfF5FUpK2g71qoPvN6BSc1dXOb1EiBCSYi73ILBscZahLf
VRzm8xeXr5SSr2LRnfKWpqNKveu2qMl8max7hfhdmUvAN+lKG41D1NovuoH9sTCNW9UQB8ztkaO1
sKU79BLLfP7EVcG07Hz5WrUz0nQCZqNFnS5qwPC2oiebFO+GkjR4cdLGoKod7tvJv1Zk8clM4Qf7
qnWIu8Bb+74kubTsz4oJ3r30UT6OqvlJJcxqpWQJklOjWI2ahLg4VMWcNezG8IurZmKgXVLAh5Vy
k4VdtmgJnH4pAunSyLtuldd8I8Lwvg+6Y0UUEm73zxNdr1WDPQnRmQyovUTtGta6RFZ1PaX3KQR8
/zCpPsFsRjfD+fS9blU39hzhXs1h7tOUP+VTaGML6rRFQ+I7uzNwSl1N3KhUOlNboVNILgNS4tk+
Pg2kxitzfLyWVbtkUlcI9Ahma/Qr0uIPrS2htpMJn49IobeIe5Il9NfVHFCv99SRWFNuNLLrQw8G
Lln2UUe5GLM95q+ZHuw5774c71Kd7Lc+OvE8cBGG9jaNlctJp9ZpZsR8J2ekJVHIDoABM228VIx6
Jw/RXsjDbQaL0RP6yfDrZYEFHtQrb7UICMpMDDqxOJod26DAD6MmcjJZbRZ8Y5eIrzdZmW2qqJkW
Zlrz2TEIhzI0hNSKhwNG8ZK1gUB1mix5K8X9NouMAGwfLiCU3uoWeHiIODIiGEsrslUsV7CqQMug
7WIyoCK/+bcq+4ISVZmj/XNVRkzwTwqy+We+FWR/2ySZqapfx3JfCzJqNQOGqIxi0Pjiu/xvQYaP
Ani0jH+WOawmz92RrxYL8y+sGuBWVDQus13zjwoyRmk/FGS6xSxPwaRrmIhz5n//Tm1UT6gKWoiJ
l75GwmJJt6ZAUAsBX9AF8LsJpLPXqt1CUo0gWVoN8GA8Amndrtow+qKJlpODNaNHUcD6HMP/f+yd
SXPcRrpFfxEUmBN4yyrUXJwpThsERZGY5yGR+PXvgG65JbfdHd47ojcdMlViVSHzG+69Z93pCjxX
qA12ilK0XxIKrZmI/Wkle7TCj3IoNAgxekTyEplPml8fOrulbPJHths3Q8pBQCgEsfLCaZkoTuUj
se3JmsJ135cEyHfd2DM04JhtE+6GIdK6bTjo9ymhYG3p5psKMCxoidtSJSxLiNtY4Xk61VVxKpvw
DATtQXVkHzDiCFdkoe2G+pAXEYLYiNQJEk2SdSYIBiGBEG67x0BjCMG+jdP8WAj/muhCcAMRvf9A
ehn5T6B1fFEHsvCOLYJMc+qnIBnGpx5hPhd7fioSGINFpa67qsQV6UJPcwefFm9sehaLM4nLPQJY
XZXzRjnoOD3d3OjOoIJ0II1VeuN3zZ7YfRDqNyx1bREa36eprtaD0xGV3zCLQOLM+oCWmiR/ct8f
BkcV67SRZ3IZBu7EEaBpZd0RZ7NtxGBuw4zGcglbDNuwPiD/IeTAri5Ts7ptGkn3SaQaFNGY7MPV
6IH2IdeMEIpvNpGU3E2kt1qYVvIsYBkDdLiOjrjMNm1NBbKwulZYT9IVi6CMtaHQtprVXxSM77bc
selZV/OO0JnHAQsrAjc/wXoHNkpzo+tJcFTZfr82mh5SI07LRm8fowq/xJw5J6WMux6fojvlI/gM
g1lHeku6zTlxrCATybBy3TnZhA5hBjVxt6QmEI2tT/617lRkXjbWe5Ub3d6oSal1yurSMcp+FxNJ
U1rZVxRED4uvt6qbKy1mQSz8jNo2ZxtFubpN8+JBYq9U+GcH3XrWIV4HInV2o8zvpswhX2hx7i9i
/NhDVae6dOSLbsanukb4bvmzvo+lfCzFkqtu9hh/5YNhd/d2x9SD8LBdGeNk7RxCRbmYnf7bJJCA
dyWK5EFkoFyXQGlMtUz9hjuYkYheU4MzXkXET9jRvumb28Gdn7ESvDQOyZJTgnGR2U6zSUd2k7Y+
fB0ThPZGZidB5cakoVRHXfiv5YwRQI+wk5qVccc2CeqvfV93+o5IxGsJ1xItkHW3sOUCL9ax9U7a
JX69CxjO2trKku2U5BiLBCA/Q70W0TztMxXth7G1V1rs+etSy+DQFAyCqMef05JIdja87Jonluo+
DtnAN1Aj63N7Jhp7WwBG3IZmDugPqQS9F5TeTl0Zho1xgBjuqm0uayG+IpKPj20BocU1pneKwlso
42LlstRHeT2pVTerDzliWsRfXgI2Nu01UjFv0QkYu1zICpEyM80w46ujw+LKDJLvqjrB9akqZ20z
Qsui6dWN+3LTu2W5mVz/YnCaC0Oz3zPsHUE15aRc4oJaOz2J55r+0Ur7FFXJXs3VcynIjUIZdBBW
BiOdiF6duenWmzT2+oOLl8G0D1FPdtuccpQYZnpBNNBREdmM+fKErAOVfHgq8vQQ981dGEM+mYC5
lbI9kzJ/Rd7Vfe1RH1pKNStiNNyTz7nI2YhYHm4MlvVB7tKseiwrFshC+jyzHRnKqCA2MiKUJBnl
g99RSg4VCf9jifWmTLLnyeotHsdpm4GOgWzLkN2fTDiXKn405btsWbkKJ002pbJPsVs8T4p31PCx
ABBFtAnH6qFNAWlbnfaAMuI9jhhpq0ygsLdY6HfVm2/aL3Orf4wGX4a6dO9r2LgrCV4hcHL6RQNy
NDHr4pr4WPiT9NhaJDWWe+MldppbflXcd/EVO3/UYzbKgmgEHzTn4kwYtxUQMHoYKmaiQ+hNB1sS
CFaHbOB9wrzy5L2QmBBCWzI/R7O177LxK+ktM6jYacbn047+v7aH/8yudOY4f10lbeGy/FmdtPzU
73WSR3o64yGESsDdPiueH3USyRUkzFELoR7mv3BYYf8YXIkv/H9BIfSpa/qcaf2ok5wvHAu+IRxh
YrtYVFR/Y3AllqCLn3aeDK4ouNhVQWwEBgqt7A979KwAvDRR/VyGOOWivhnLi16aiuDMYqzrigdm
mInggmwP+j2aHqDDAiuu8GNAE0tjHqburogbFcQdXGbZDzuIAwECBSQbhJmCCcDTWvnEh+NepJ3B
RMLOqAHb7lwCV+sRkGiEUhW3oMSooCoju+lhed2Bedr7fIVLES4+LSC5eqLh3Ss94n/GZoMlNnpW
TGavwzBO3Os4V+LaKT1UKLZc7mmXMIsqcBh/l/eu0EAq0s3JTTcZYX/VaF2cPAyMK8ZNnsnHzPRj
wGlZtU9icuAYVLQXMrWPcnBunYjQolCUD/q87AygAVVx/WYu6RhujMm1nxMSnlO6PutbXKaYRjT7
0h1MAi+mhyEmEc1ibKaNWqAVNErREgph17UReECFuQOFjRmTkye0PAQ0GTZ95y7z5BU+T2KjtOQ7
Xs/7YrDfCShKNl3Bm+J4/Q2nLhMCQhn2bPvIWMVd9UKULNMEUpL0GfFKs2iQity7b3LD3FYlC4HS
6jUyb809Y3Py/cY2KGRysGJSjBzimFZlK8gZY3WwMWE50l6po1WbN6E5FOvZionMsM19laHAAYot
1z7R4Qc1LvF9g/5dr/zAGzpwn6ETErjQ7YrSf43i6sTg/dRZfktgrUZi+OzfiRA4ks/Ufgq1744/
b3N9OtQhCdIta024cEHdzu6eCCYidsL6o6+QrLDDoWTVijcZ+xNkDTx1Prx60x/F3l0GpHy9bmzq
q1XvscRwUo3pWnid++jLuLWI2TNIqSbufmDusCKi1CHSauzWfN9IKquehtQE8hj1x55PsO+GLRu+
ZDc5GIFcvWE1WNqHYlRXU+M8Gl1/6ffJPd7fbJ3o3UMRxbfxss+s9YED3tUOtLbWaozbWyXCe13q
N3Mz8IiwjQpYjEQrP0lgJrfhNVX4XuWhdqD2eGsbjWxcu852yqGVnw2CyOksiiByOjAtuo0xSc1H
lhxXqarUtvIcbt+hxEY5YmZubHkms+R7TgxsMnh5AGz7wk1r6C26OKkKoJWOuZCWAPsoD0BgG+lr
q9dyq/z+ym/tp1GLsUvyzVqlqnDX8WB9FGqYV1ld3Q5zve6J7Jp5Z1ZiuU/s5WbpuWLM5a7Rllsn
XAZfHRdRrsyZEYJ4cpYrCnHXYVxurbw1DwzTrQAD/zlebjZ3ueP05baTTXqVcP25XIMF12GEI4vN
uGA9zlWZFP41ZOdm6y63KEtLJHvLzdpwxcrlrtW5dEMuX93K33Qu40ZSzCfL/Rxq5rvNhd0tN3dR
FA/FcpebXOpqud0TrvmK697RKsVG0FMx6zZhT+6NlXq1CFjLq7WKm2+s3wMW5nDWNVGzFiZqExfa
Zs6YQY/zt9YynxvPt/a+XqKU9MX1PIxgqXtcmnYL2M61mRTiWmS3FXYHXfR3cdlDvsJxhlO0Uivq
4ZSz1nqpXfuuL0hrlDEAemMIZdAOaOvSui7XZaJfjuSpbJC7vY+z8oPSYf6WmmMwhpXYZ1npr0fN
zlf+wPqrYK9F/SHf0BwWa6Oj49RD6Vwmk0NgdtdMaEHNOLDM5lZiNzoqjxQdY2Z1nZQTn1Oy7SNL
BYmTKvTfcX1RCHlQRfiC7XYKCo0trCkEnZbFt5WY0jdXlMyqF/q7U4bbyLbU3i3b5lDV9jYjcieI
wfduPY/xOOch/UHavLSesy1bDfYYC1IGmzexlrhrFu/+SrEvJLq4IB9VK6tlFBzeuKVZb0VjHJrI
OkM4IieoSL0d24QooJnBizsqdYyH4XtGWPA2rnvraNbWwjUnkCWbonIflyW7RfrbwJZK27LQrVYa
I9BVZFJXO/14sIpw6bS9GZPxeIpy/xj680lL5mJBjbd0m/NNW4QBsMs7TyOpdO6Yh8cD+UNMSa/r
Ib4vsSRzIRr5trZoAYdYa7Fv9m9uA3+qQCe9mzyUvcoAEOWZM1VbHl/3iXlNu6kHWZWMuD7nk9WH
5zCnF2zQTwEt2ljpwkJgk7NKRHvpO+mbR2QUFTBrG4HogghYJ8g151hZntqA8UGPN0MF0XV6syF7
rTLtmpD/O/DuFemhugt/HJlFa9fv+Sw+okIHIGDZHdM3m78ScmIgc3JSsQ6uxiG5DP2BOCOGBoFs
Wny2YXYiBFTfp1MaPWBqD0hAeXYZOa9MHl2RFx9t0T9jZVo5cX9Zf8pE++ItRAyyMXyGEX6RPwyw
VVZVggjUhAmBFVwPtDy5MIBEARPNTjmAq/WSMupoIweYYbxPXrcXQ3j2QlUgRFBHKI7IPTLgI075
WCh0GcukxlWMBFpyEPlAj01nnJy8+K7V3oecGLK77JnKBsdGl76jit52Q9XvOlFvOmLNsdVrD3qq
n+foVBD51g4Cn2/26g/pt7jj8B3pLtJWEDtNTpHT4/XvXIKzOzo7QWRoUrDPSFmQTTPf5yQ0WR6Y
9rulV0wTHHGXpBH/MQf4WEDBa3NjZeuE3JNvkuyo3F6owA5k328bKp2V1bs4uxF2DHVy5TbeKiSV
HJf1aaon8gVDGPbs9nZW0b/Z5IBF9NnrmqQdXRSkDZUPhsWF5xPq68S028qzLpHcfm2lZGjf6Shp
6ua6TvyzYr8RWKRgDRr2H2YBBnJpJkrVxPTeJI3YkMWKGSxTq6KIMFDz6JQzymdCyu6KseFX88px
E1N3EpibwPRilV/aLd1ifJQq/YgNJ9lG0rtSRrqr5l1H+2YSLKvKwJjOnpbdxzkoDc22izX+gF2a
LnIjemdkIt8sjwAPGX3z3ORsm9hwsTzHfFjNa1Ux1JtMmTpcxGN74vG5jxTLR6bcD0Yt0PAgU+na
jbe3onxvwmbFEx2EnlXflG5bqLVeJi7xSEw3tcd4rCod4EvZtUfE0JIgiUSO3rit8lFTN4pPp9Sd
RAvsEFltNJMfEnh+hjaKId6UkY7LZH43+xFrj4phkUhrkDq0/IldBYTLDgHd5BP0w3lTeljsRhUZ
m9xMv1pteSdtd9p2FnTMtH2k93dgTBj8prCEkJ8dYmG/1uV0PSU+4R4CaU+c9Ah+BE9IlpEq7EgS
CVFUTFwndNCZzsWGH9zl81s+O2rzwVcg0mIykw17ldd2QGbB5dgnV/4gzgtpb1ViwDZ8FXS+fTZm
RXVT1d+4WyDy5khpSu9rlxB80g/6+0xw+25OmWmo0dsDf7lGCxNT5M27iVZiRV0jAzcsv7ey2GMp
0tC1kJfRdO4ZWNGtSUxu2RMe5xSV3HPunn2Jflw5XHZO1zFw4YlOTV7QadGO2qQOdAZ69m52V3Bx
d7VJtesb2UvWECYRX2UkvaYOXfdkHZwWCqzvjZcaKDQWuf1V4aTfYQujJSUfXqrksor0S8dX27wc
L22CGVhoanMTtK0WHUe9esxkdOjj5BmezdeaYF2COgEQtbvJFXfIxdfUveRPmC9Jbez9TuNkLKLD
rMR8ADn1wj/wKzwknJvUgpuY+O4Tp8KLXVSkFsxjtKqa9ITMqQo6MEUw3eYLOSoi0FwDRICOoDu7
kbJ8zWqPWD/y+gtFDDEBDIkVPxaSTfE/a4/PtYdOf/vXDf0ufy/LPxGi8EM/+nnT+OI5pExCBLfJ
jvyFn2Z+8dGd8j+DrQhKlX/386hXdN0GbfIvJQp/9KOf9zEx4U6Fd8YY8DOk8m/084bL3/RrP287
1DYuf6dHoD7i+F/3HqTFC3MaPP/KLFoYs44x1/Anq6i8sbQyNklZKLrwhc1uewO/skQUOCbleh59
snD8c1v6GddF9i1jHUu6yGo0e9hdNsPCVW3lU7Ful/SLyWo2w+jf0KZ+ENWSrEXrcR2aOw3WT9QR
Bu00O7KWd17J/VJrey3JvzktiTEirc5RKm+yhULr9m1Av7dnf7PXaXcRs8k1JGONraHaYda6NKmA
EpYktABQbgdd7dXCvS014xvhzaupGZ1DS6B1bYvD3Mo3zsMLEGi5s8CY3WefFL9+IesijXhvmcSS
M8FV7aMRzJaU95kVMl6Jcm2OBjPm6jQuzF650HszS2s3eCvLAxgCflsYoUFXsSjpxgtvYQDLlLDn
duECm4wEYhvqtoUst13YwUYbkfQMTtgDK4ySh5zqhTRsVMNzQe440BGq/upqWpjEWhE626JjuwGX
/SATyMV+Qo6Tge0k0KXNRHghHBNsTdgXe401sVb4StRN4WSHjnjMVWym31WBAlNfmMltFSJBwaph
Req1NAeWGobx0Zva0QC4LHt1ThcCc7iwmMdPKrOEz4wBNwXySXc+AW+egTgXWimf+DxPvfMyF+4F
Nvo1MX/Af9Oj7oZ3cqFBtzJLuwB3RhOfNbMcuMaSDH1rnedVzDS+z3xC/iJHHPLOY53ijPEu8Ty8
OkXU+Bem0OKjyKpxZ3L2HXhfiLYCt1Pv4tDz71jlEM6TqwWL1lSMA0aHXLO6dew8yAlQ2RnIBVE3
la15Fnk+PHqV6+21OdOf/jkOP49DA9/KXx+H+6GAl/69/88Tcfm5309E68sywUSLj0AP4wQnzu8T
TvsLZ6HhMNuzbKyfrHv/NeHEu2kzdHSIdMPU8im7/3Ei2ovAf9nb/nsu+jdOxD8K82zwGp6/mKMh
Z6Eb/MN8sx+URHHkyOtBP0ZggNVt1e1+elOufzOI/ILx+PSG/moc0Ylesn0XRTE7Z+cPy2YD9UWa
Zl19bUkclB0brg7PVGyZpXVNjkLD81+5U3Yzf9Jn4jgWT5wQMGk83VFrtk6TCSO2Xnewa5p4Oiew
bFwLShQO/NWwUG5Ufh1Cvckr7aCg4GjQcHod+5iCjzMvnJyk24eK5PkYgg6UUCNgb3DUanmledm3
XBGgDnNnqOsD2PEnFGiU80l8FfXdxjNJrFhQPQbMHnqbXb1AfHJOrF2ygH001q+rHtZPs0B/Bug/
wts3Vrfm13uKXP2gL4Qgy6iPDcigvENoG7KZRi32Hi5UIa+oyfFbSEMNyKEa9FBIzl7glYtkRcKu
qoX+bUnwtxZikWGX96MRHUPT/NouTCMTuFG2UI5iJd86sEdq4R81aX1RLkQkvxEsVRZKUli1dxBS
UWrZVb+JQCkVEWLKvrNuoFRF3HHDk5ZakHvhL3F/E3Rn9h/pwmbyEvCKAlxTCbZJLPymeiE55QvT
ydUnzrOF8zSlA4kRtckuaySGzK7nRwMslMXHuaoARTkS2GVh5veyIPXI97JnbaFKmbI++OClL/Ne
GmuEekeU76zWDfIUDbBUUf9mpdXWB1aVFNJc21NDh5aXj+FMvkzYQPGogFy1HrSrfhS7GfxVnSDP
kgCxBmG/eR2ELC9NPryFmRXZ0LOa3r9HhflhJ4BBwGslDUNCA+BWbELeMqA/V6C4RrP7ZqSwuVqb
sTBm30OeZEwEAXgl3iLhtPDw2R10L1vTfbbKwzXSo69jBAFMAwUWW3G7zK7voqlvgkpEw7oMEZjZ
4NmJDWAvz+fne+mdCZ0Q0RYtkT8+ZjoVe6LcjzT1XxwjW3JecR1aU0ZAK1iFi7JAoR2lMJw4V75G
qrkrbac+xpkFikegPq9iyZd1ehlTohNr2RDQK3k/oKA+Z26IA5X7e0zLd9sgJ3Bs9a9ZlNOnEEE5
aUCLx4iVvdA+es171vDgrNwM7KcFgDSYwMLOGzG7lbnpLZUd6k/vorTbJtzXvBs+Jujm3onkvKKu
4Fvu59nXTLf8gzMTnQIw8L5pTO6g+r1AgpssAvS8qr8bfcNYmiEVIi6maZnsTzAE0kfb7oPcDYlx
cx+W3MedilV6LkBdJJp22w6pv1QaoBiCEPJdMBL7rIkJkKmPSKLLSQxkpENsW40v1LqwO6egFtOo
w7p1zbO5hAxfdpV4ij3nnTCsZsWx1jAVN0gsq9djrE6Us6/aNJxkn5DgPDxHyFuWM+e2LY0Nuce3
lWEdpKHdKiUCV4seoKA8dx68W0MnQxCkifCuVRFfzB2MWwbcoa++06wBhhFpkHV9tiG6DkIj4peu
RX/PlK+tx0shqk3bZEB0EeCyJZFsiWjTU09jVqtdqb59KBKCP0OzI+UMjkkzPWrduzPwTRxdsbXs
VBTrsJQ5ithQUsSmg9K0jT4q8SCicdo1DQy4NCJ+2vHqvr7MLOupqGyijedmI8YyghSecm6tssqu
AbI4s7XriSJBEkFd5lnFQ9Z027aXT1LmD12jPSO1tW70wZmvufCabZs3r42Je6C1vk+hd9XM6tLP
/SgoC6ZYDjO/IGlGEmbSnIS4ufDv7cJTF1ER3wEh/Ma2QVvLDABKS6NIsdljWS2ZM9t9/Fzi4dBk
fJ8k2JV8SzsOY/c0GNXMmBFRR7jYkIl2BA2acPes/YwzYNBygj+Her7Sek+7d1NGtkr5cgE20Ua3
dvdITt8Q2L0o9jzNXtDkfWC747gfjV7umEyRR4qeZyfBVlDt1aQK9kzsGcE5sHh8Y1kmX5OPfttB
uqE53aG+oEDVwrekYoc0u8Y9pfZTa0x3kdO6B98enqoFfGFHc/g/YrEoHn7qdBbLqo4zm9xll15H
OEtn97PCCwhOTfhCM1xXHhnMxlXq3bv8qx26hfR/WVd/rSKW16LTcw3LIKGCzF6xdF0/q8m6aupN
1urXHla17KFRRBD+D/fp/3qJ5c9/egmZN3kuh1xe1zyYCmdAPL7Y9d1/L1X+9EV8Gk1BxWaY5h9e
pIuzDN2TlNdWe99UZ6Qu2nj47y/xnx8Lb9VPL7E4p3/6PXomuJFhT/KaaMui2c4Flip5VYrXVP2P
V1o8Fb9WXb++0vIv+emVEMs4hUvA+nWDhsooWVWZx6FgcLIZi+NczL/NRN6m/4veqz8p85Z/+B9f
jgAS4rEg0vls9H99OXxGJGv2hqQDejJ6xLvufRSfVPFPr/FbFIyBZ+eve41DUb+3yWv+J70GP/ej
1zBoKBa/P0rwzwkLz+GPXsNwvxhEywgOg09uBz/1Q01Bg4JRV6f45wcFjtN/T1/MLy4eINxaTG5+
y6T5G70G6oxfviMOGg/HdkyT1SIyVp6CP5wTIgbQOWmNAt7Hhn9rZLonLmqBZutDn+fSodTq9Z7b
3WIbO+8rN8tkSbmccoK5dnYbmsxIPYTm+9YYhVpZrvlGEnK3rvzwldSXuyzMCqx2uEKb2TW3lgMG
ikaqu6hc9yOuPW7cwsTbW3bJltUXIqkOBkPvSkHMv+GcMRYWB63Me8p9doRqjaU1Xqdp1F7WusG6
mtE/e+vshHi7DLpaqi05MxgiG4R8OYkqawJc2MSjGrm0R3WE/Xb2qh4ZV5Jn20zzmagyXPKorV2s
dxmGn8kXbBZ7ruGGGg88HJLSZuJGxCJMwIetPeec3rU7lUcRD/eGG+sUO8zHmcPX4OeUdtmm7pss
ueibShi7ykk/5jR9YdiOccAejeKA1zc813aqvrJjClkKxxdRZzFRiNP3PprNZ8pe9u8oQrajm5Mw
SwR2smJ6AHuPFLoTDgpj40pdO9r1pJ8dkN67hHAXtIuDe26FuPGgQdzRCR1krO61GuxIZZeYQr3q
RrgsCwmkAYWi2y7lKV3cnLH3sHXJjEpl2tmIBzRlqo2dZxSlCB10Kzv1oTJ6gF2E2ZL73bZuexXz
2Y0m2pcLZVCzIwszQhb1KX+Tv4ZK3V/V5D6j9mBy4hzqXpn3mjnkycEcs/nYjqV/leC0oMybPRYS
Pm9CeOWzm2A3kPno0fzsbCLTMKJivrNH7ung86H9Rwlmcx389el1V+Wvf6YEW37qx9nF5BiPomG4
grBIhFY/WxjNZYTiWYKAR7xtyx/9OLu8L8t/SgFC1BVxsEuV82Ny7H3RMRsyK7FsUzBu/ltKMMPj
b/rpfkMJRiSy5wnSEQg0MSkQfr3fbK9IW3sw1ZUHm/xaIP64TViYPVW5bR6VzLJnvq5i6/WjfiEV
KtRxHuklUT08CF+iY9CrHIqlkSD3qcKN0PqWaWATo03WL/M89jHUGeHZcXxGz0jO0K3yvBArhR0J
u/i01zz/OJnQQij3e4TMVvaGgaUEhilDNOQzk8y6m16KOI6OVROjPVm8bCYV86rDLgUGUz34ZrMm
R+FVhYU4Dpz9W5RD8lSixd60FYnnJDGE64mg88waKrbaGVH2bsOwhgqX05ZJhW/1KIYBB5gk4afv
NVod+6YvgbTNc/TBBu85nqJww7prTXt3TPFBMhoos4OJ6ApnpjCvIyN60jOFAMdqt3Zd3jhVo28S
vdd2vRvNWD0H64grX2wgyZwMrekOSW/7gR7jM8/y0t6MJDPsXeYMq8SJsmNTIKkJq/FmbpGt1zlB
yIPmzKR+ORtylivkX/5lamG8HxXvjjZo8W0iSbQqEsO46joTbbdgDtHE3XEw05emFoxgc9gI4JTS
jRHRXkfN3C/K/XijSaNFOZDphH8Z+9SGAaO1zD8caAM9Xbqah/p1rKL0Yurtdy2r9AVgB1KPcV/A
Ob3O0uiOceFNIXATZNO0M8f8wUxl759RwCer1syvxsa4rkzvQY86bPxWcqg1gLQmUh3RML6veR3X
ReKWj3Z00XUOmvWyQEVmvDtONWw7V96NcYb3m6Nv8fQTYlboVyLysdlWu9FyzunkX9RS38XGgEcg
j4y1G7rXKky3qBOvijmBlkFIvm8vEmVHXTiqDupM++rBBQrmyT65IWDveUDlYrYIf4AN+rH3hruC
K0h9bXxu4SmsMWEsBjb8IKq4bDIH/T3BJcMbcxhoixbbym1YTWwzQThsCDDLzoYLlmY1qLw61j7J
58Jop3PkmslvBfI/h/ECTfnrw/j03v7JEm/5mR9HsSEo+1wiflyB/oBEuH+XkYhyCQE0qOIA5lqu
YJr94yh2AE8vc2RD92gGxTJK/nEU21+WUxuNL5l9hM2y+vsbZeSnN+nfncaiyaWlJfmbGongJybL
v57Ewqgj3Yjn/lJ0cFkzfJ84TWMzD0Rj+zsxeq9dGMltUzsEqamZB/RYdN6ACEwkZvqcmIjFruKw
GpoDW5sau8yQQn/GhzqI65rpnLwuZX3JAZvco+7AyhdbkCLSbu6oc+L0xYJxeqNKRc60HprGJqKF
D8nVAO8emPYcb3ts51HQOFMLgDbUCmyl3A159wyoMmWKM+FZRChiDW6XdFuznBLjWHzyoqOZeojB
MuETm35BSvtWxI5PoEiZxt4NOKTTnZapZiMbUmfGzDU2csFU65nbPnDjDFhjfOXOG6sbgFsr0yfK
Iv+EXtci1NhA2bWGsq6e3YtBkWAS1Gbl3iWuC88DbRfSlQWpbdRx1t9lVo55mvCY/GrCCGbuGsH/
V1FXPc3SJre3xliagsyJK3FARmvpm3/qpd82SzxT/+URJaq8+5NWjx/6/Rld4PA2eHcqJrShf3hG
LUoil1mMS6lCE/bjEXW/YKxeihgPk/Xnc/j7I8rTuzy1wqR1FPSJfyssVPxHseQvhRpRoVT0LrJ+
DpefZw9GaPWkDQrnEsaI1X5FPp4XCFVUYQRxrA3kOrAeTi46L7OeanY/rMNlfqNr1hqsfV6gqQPA
tO6FDglbeW4HTK1qZy5pLi5UpR0PFOjbo7RyhFlVXs3ZTYVAHnzOLf7ql0maPSNr61K5ZRPYi6p+
FhMK5yb+Vgk2r+aivachhqWkaxQ9w44lDeE/ZqYCiWQ/NsKnBaoQnypKHYXZbRH3Z3DP1sWi+B+d
Fr0v8DgxuetqUH15YWvK3Stc/ImdhNjfcwl1jyjRsBzrb0TvvERj6q57twgJZyq33cTuAcPivkm1
fZIw/Z7a8ptutekux68eoCb7mkTam3lRl+qigjwxYaBg8TEzQs7De6PxbopK3/hq3KXzjdG7X+XY
PUKV3tgoSf2Lfx7E3x5EHo+/fhDPr9n7nzyH/MyP59A0v1ik4SJ58ZCW0HH8dFdaX3gueaCw3y4h
Kj+1LeStsdTF6Cv4Q/3zGf1xV3pfXPakXGwClAHKPf/v3JV/wlddzgCeRk9nzIQf9Q9jOYYNnMpN
6VxlYx6dtKhowrtpyspmT0GV7SRZccgGiV5o2Fnga88PdssyzKF+3oOCqg6FMhkaSp3RRZpD05wG
rIU2BrCVhR7Tc1huyhTfWRaVR81PnYvPzC5aiK1bEEbBgHzrzx5JSiPDeIX5JQztGZlGHJ3KSZ7S
Mt9qHkH6XM3DbT929OqT+5KDK4FEHvsbif4x16v9zBJHmtFtY5QwC11y1DqTjVNZtPt+Ni79zn/H
C3OTWN4V1NYDM/E77BQ7reqetMirT8DETk1M1G5sJwfDl08Lu93T4rvCdL5GiQdx0uM8sDOrvjO6
6BnF78Hy6k2qh8/Itl+H2DKQ7sHPyfpRkq6b8G+2SZiy2N61LdJJUfmnxmKNl7Umspb8skGqiDY0
umgK+7WN+6uexI6eNxqtNmzZShIcH9bHQmRiXVT93vG9pZFDpmeicpmhQ2ZoHUVt4SEV6jiH2pPX
xjdKwu2J+/QwRBgHG9HNnAIcg94iqTdCvEnQ0kzZPGPE3GUV8mXHaudtpHISb+v4rSvGdq1qwwmw
bO5ItznmDKV2hWdelrVtBrLP42DxEtdhbG+s9mNwlb53M9ffMG1hguW4AXXjB/AwpIS+f9XkQwOf
nR3TKJp7r/Xw8/j5nkSam5ykWn9sR+ZQkMf7WqydqCQpTo/UC7bnoxfZ34XTWfhUU58kmvnZbusj
nqIXwLw3DWsapjDPskZm3vbxB2HMWDpkRlJEl14WQu2zDrZTaxsdVZx8nzzQ5ZrhMNCpo21qDm8q
Rp9LoOVWjNmboqys0CIv+SSJ230bGWifJ8dhwFQsgpke8QJkv0VGw++Pv0Yt2hool+hsRgRjYtV/
QucKToMAVz0rSWyo+Spb3vEZbc8qCUngJAR863+S7MIFavf/7J3XetxGGm1f5bwA/AGFfHkanROD
GCTd4CMlCqmQM57+rJJHHkkj28f3vpmxhyOxya5G/WHvtblG4v1Mzt3Ch+FuVtF3meYBl2AfSbau
OJpmagbIkVemisxbVHgeBDxzRY5KuSGuls7eVil7mTGj/1HRe+xnwQTWRNt5HsF87kBEH7LwDsED
zhl9GLYj2nFPj26Q+7NeIuHPJOp25fr+HRK4aN3K9Fo7mOGF8Tx6xAM2hpZ9KAxIuqIGPEE409pQ
cYJex4FsHDNDgYsX3oKHg/OdPFiDz6ynIglz4WtEbsATNsZ+uGJTAfZLhKFLlmFGpmGmwg17FXPY
g1lEsNC+NiQgGjinVgOZiIXTm0hCvKNGZ3nEN++ty68RikggPgpq+hW+tXHTq6hFS12UhYpfTPKm
2moVkYxLt+ifakO8T/M83Pot/99RRTgWC8jkLJP2rsxV1KOW6tTLdYnVVr2/ISy2xQpPtR/v5Dhe
Ez5RwQhoPGUAE4/81Lpmk7NcnozZ3CV52G1KH1VtujQXFiBeMMU4IUyv5x1acHW02RbD37zNi/wu
thMLOhVWGuxHJy+iTx4rfZfY2QdE17tea9+BvhtwtMIxiPHjFkZ2afsGLWGfxwGGhV1YVXunb8kc
CsEocnmsYdbwgWUjLC7elD8Q2STPfjwADExAN1jQU/ISBlQEEslOu2dKH0jc1QkT7NtUCoM9e37s
snHaRMa0c3HP/Fsh/F4h/OVo8/zStm+/6qe/G21C/CAHkIIcGDIftR9EsUD61f/ssXf5T9D6f4p1
JGCUFMocqyMSQyJB+fCtRvB/IwoCeIgqFKjogbz+g34aEe3Po00b6ogFKhlqrG6htf2xWh96f9Ko
wsebmdrX3cRDmKJxcNG1k5IGvlOEp27JInMzk2SYPRm9gdqTMUDSHaolUQHBzpKdW1bpyyZlRrWA
DauKEvBVQZbsp4n1CtuRqgmXDbNTHnHR1Ownx4j8L76eG927uW3RPnWJa4UAPJbFX8uKEEtgoZpq
WWuHdFP4aNmIU2QpWZ+uwI5Oxoag2GbZWK6B2FVZFNYdJM5dr2fAopohsuxHaYBD24JAIoPc4IFT
OFa3r7SBHEBz7tMvo+lN24g4Pn0TRSnLWJB0wBqwPx1hvcrXBJ3s2geXzpCvmoeNJhuHVVHC/Uxy
zkrPNbQ0oDteB7sFQ7bkaCTgoMQ8nCNrZ8/xF2fUmL0V3hcqHWuF3z/fuBVfAwOOunXo0ci75XiK
IxwwnnqoRklOGGyHclU2Gi2B62Y8pbsMMyqzvFWjY6fp1WLLmBN9T6I2dUiI+N3wJEbMpYyOVaPJ
W0vRKggy9HdeVbxl7mLvSBAlnToerF1bdqTVEcxM2Ua6tGX38jbT0S3VPh7OahCrHBoIcbSg0iLP
fIuR7O/peTgWoAVQp1pYjMsIYqmjvTKLjPbOIvuA29XbxU3zxR3DEMsBJZKbU/itxwb4k+zIdS/L
vD36ts5kWovTC68ZAkbplMdsZGDcp3i2wOmvbHec73w/tHejX+abVpHhsEFj62osgjz7EDfE0vAy
PfO9LIB1RHUagUu1dFIecNqVoN1XxAyRBobyYofLur5DKsW+KRoxBydUJMts1Mj8ZmRMbSnkdtH9
adMSnqpcINVmMtwe8w4EqXAqsr0hsVUwlsn3/z42f39sojf4i8aqbP/P/y2iN/n2qzkHf/Rbf6Vm
kTRWtCGC/vYHQIDh/UZslWdbJOzwBFXK2m+DDouAa+hrKC2Qn39tov54doqvY0oeqzbGcPiW/wik
ROP3w1IInqautK2milnBXay+/p3GIvVcyo3CT6+AYxfbhSG4s+rn734xt78PNr/Xz6LK+cV3YWWO
eJjUPoqgn5QcdUhbZi92eu3KNJGQYPSC4DEE+0FoimyTmmRFltS2ZLKAp+5BCQZyCU8D7ce9XsV3
MoFtZ8fJedR1eidDswHo9SjvjEQP9Cg+jCI/9EN8SQZ/X/XGWV/Gu3YWl3opoSebN0xYj3qaIQIb
UK8DHvK3rnq8gPmfadz8z+RVjOgE2RSkHREoiM2/JEw/se+zpCAdugf0GfLnJ7BPqxnGgHMctSXf
heNEFLHWYsXwBeuCfuHWyLoCIYCwnkLTd3eutM2PIgdxoKE82SV6FjubuK8reE9znT2XhJBg1MOL
v498LLUHw8QnRWXpXZ25nSl1cAUj2/fieNWZlek9LaJ2EPAKuWu0xbF3BouvpQYkyqVbB72dd3OI
/d3WbrxaaBf+/mqtiDWZ0gGWWrHzqLbWTk9P4quxc+N6yd6UVnbsp9rxbvl+rfnRniO3PYm5HEqu
UfO+dBt7uo0NfBx1NPvAWhz3iFY0+oBsw3oe3JgptpzZO3dFbx28kvYJALk9LnuPG9kJ9LH1wYsD
D3eY4W5AClhrUU3Ay3tYA3UUzYdB2MPV73t30/E7BxK9tC8tjfY046GaJ5K5/To5aIg2N8z9mYfB
6rxH+HtM9Vlu/NLw7yNIpisKWYx6sx9vyyrH4JdZ66E0mK8nz15uD2feumHt1Mmyadjr0IhT109y
So4OCM+NS8uw6zppBIUfWtc2HgShJXW7c8xhP1oFEtVJtHcRRT43TH5JCnnBslts8ya5s0r74MU9
IC9H7ssE9mVk6retP77rgHY/Ilz0vqCWZjaQrZ1xcr6USb+283adhbXxoGv9FrQN8Mwyg3UOtMaj
Yp/oXFqn+ty23VuRNG9zOj8xdiPsZTj6U77lAYJKZNlZk36ZvQFgE/tVW5wXxMBRM7yC5KKF17Zy
NLh/8Lb38yfMHNxbn0K9N9ajI01ucRB/mT18sJ3kVS6OtXHarD3SvREEPi5nkROxEomLU/XQa7IP
FW9f25nU9J4LNMfZgm7c9/ryYQrbTZTDVq31emVCC4CiWOiH1MaCYsw0A657y894bwNAXE/JEtGr
h7h+Bz25xJaDzzEUd50s2stYd6dITBxmLPyynvRVFnI3evl88vkQ6aULHKJZT3AGvMo8W1P5rLHk
zGz3XS+iu6Kuzi7/Pgj/nPfDXewzKRDVRoSANqJoImomMwhgJ6yyb0pQ6I1+zbTsIynbHytQRkmb
nUrpHYGZ3S2jsZZYpEspL7aVBrWs59PiutRiFAkehv86c/e9Qs43dKXxBCRxGY9eSV51vRTFEWTF
53wOXaBSBZnBEUwnezKzXe1Xu7BFf7vMWr396yfvLwRLJKSiRkDhyPzM5L9/fL7HswGx1ZH4H2uY
+YP0Z5Sxc7YmHkmeu9wc1+6Af7+Mc6qm5c2o6vaurjP9wVs8kgOm6b5X2LMpXGe++6xP3a6OnS8F
C+A1aDAVlgvDgunKtlxU7naY4BO322CkIF1Z9SDWrtftMdm+Ah7pgyRtnwQiqg1yVCigZNCvZBGM
ddBOB6PKmE6EBfnNzU7AI5Wi3LW5+3mW+TtcCcceA/rSymPd4waqyrPXCn/XjTOeyjnZiwluWQtF
1QkxZ8ZWuouYUa5bvb235t4Iqtg56jEEJZT+Og4FA6VyMz2myWCtfIfxj5jFjZWQeFQ7DrKpJLsM
1XKN2/SQjfbORj69TiTg8yIjLcDD6J8TcIBAYWNH1VlGeP3dQtwkcjzJPicaUGBUqGBnlHO7LdPm
JkvlPdpTRhDFINdOoQEGrCj2muY2MdthnS8MDJsmfbRmvL3gLl98gB7JwGGaOKAeA7AsqxXrgN1W
bq8s40Oaz+vchMnnW/uR55DZlsQpuGe9xp0c+drn0HAW6Lf1ikZ8WmUyJ+yoUs+y7py4znuhy62u
z+AwGJ3MuTCCtJ2zjRVHN+ZiG2v8hAplk3p7cAn9U0lO1YlJf3ORVLK/77L/VH3JJujnQsRBSQ4u
CXqGZ/0c5MlQYoRclYMd6JO1mR4b0f+NvvPHlQ5/penSJjIDxd7JDknti78vdUwHfZ7nR9FVOim5
WjdJn+yT6r4ZSYJvZJA49dZPN3/zARRql/vfXe//flf1c39XYPVV1lWWqWkXIInvkBYyrOYfuBXf
093BoWRtE3Se/eyEJvR+EEvDhHFPFuDddJGUQdEs70vNPaMf0QOMIFvpj8arF1vumnTQR8fLx3WU
zSdXWh9gwU1kCCBO4DQV5aZf3GLjVVq9Nipk6m4xz4d+cs3XsiD3iSG2uUmS5JPkrG5qHQ4rT+B5
3XmOHtBSv+stuTDoyx6ZXIlDHuF1mrvPDIX2XEoPbdNsnXZsV8JO96YeawyaqVDkWBQ7BCR6UMO+
WDejTQuVTPciLhD8JQDNzYhQDx9jQjt8qdtRrNoqOTQWyVaj9TAteCb07Gh3WLAbZTVMQlMyeCXY
zuntQ7akJybD62IOxdqUpJ6bYcZTVn8edELPkjS/ePG0K5pxM4QLJ1jfZF2UBzG9dZnm3qpaUm/d
yPBSKeya7e6NElqkF03v2GxTwFXaQ98hSzHNTg8Wt9tpFSAooy9fnKi+NHp+V7NwbzqSyVvjONi4
1gfb3LsMF9eVYTwWc7yfQqApQ9NfK4c7EszTgb7uDZkU5Ey45LVt7aLKOruEVfzNcfu7M64K8e9O
GwQ6dxC4Xi/pubiNrtq2PtVPhMsdiNQ7e1w9wScxrhhSXoqP4+mvv7lK5vnFUWcryUJXIJ9QL+67
b87G3SsyXKCXam2virMIqi1JrMZJe3a3ZC093mjB+XnYECU2vPAf8jqf9dUx2YZXk5Slv3k1PzY2
v3/uTJ3yErUwbZT9k8Zi1kdm3EYaX2P9FmfzKtGfm+H31vf/85n1v9+DAdf3P/DS5OiwYhlzub5F
DfF8d3/9G/3lz+Cy83LVHI0R149/fz45MBmTmstbu619Pg82NefvT6h/NUQWx/PP2/d33UuRtCy9
ftG9qz/5rXtHLqSmmnTwX9VCShP0TZCO3tPiS4IGHhk2OoX/du8oN0mpFEzaXAF+T33p2+TT/U1Z
TLiRTXTqriDD6h9MPhnL//CZQ0rEcEDnJXCfWagpFZnw+yOoYRbKmkmWN/3sQA5PRUWXbVi6Ut90
ubx1MSh1QS7tq13Vtz3yNgvk1qYROS5MkhhyIz/Xovkg5/Io2+KejFLaWdySZhpePNu+QJ3JgsId
d5EJdwkuEcHh4zPEz7evLvYSjyFYfaeEwLZsjRxvWbwgXsTnh5KoX5mySy9dr2znHreBORTGq2Dk
ONFVyO0YDZ5xQHXfJEdsZx3bPuCkLC4G5OmrHJiTg1lM5/HgDNXBTdwcAY9/dKS3WA8mNlPUCflI
AKDvg3Q9N2nSfkjHsFj3g5mLraLwAi/rgZHSxzNT8O123NDGamu2LE0Kg9cdmM42kV5vcrbQTCzH
6bV38ng1YtB0K7sPunjceYPf7KrEIQqwDNfuWE93qSfHLRLTCxJWkonaDq9gnBDPTD0c++amDIdH
oYdPWrMcOle7HzCzFQRLWPBviEw6T6N94w/OvPIqJ2ikuIcp+1JpJdWjq63Krr8QjMq+S6vontnT
NL5xP/TawTHEpgjrqxdVXwRg/Fwb90bSHUcn30dhfUbufs3FdO3L5lWf23uEK3uROo+ZP8DAc/eh
Ed04MavsWlbvZAWlvUgYVuu70W7vm85bm9MI2c6CGO2Ahwb74LVHEi+IxMlNsUn9LwV5AZZ0rubY
b0bGpfhk2Xu2lzBpb4nn+QCxZe3iPas0Y1O48XUp8xvSHla+vVyL1tq3k3hexvICZWhl5cWV9zKo
0nHrx/E1JZwIkOAJ0Oq277pjagN+cfSP1BhbpvWXyuxeo9JLN+qtj1wMdw2k/tzYec50Jp6lW/W+
fu1Bnc11em0ccVfPaHYX7dGOzYNM1TsM+pjm7tAamBi4jf2wfvMt2AeFfHbT+JFclPsu1rZhZZ8J
q9mCRrzq6SDpcozzaE2vAy8CwpLBmtQ4hwMrYNcIWI6fI9fYasl0Gqf4ULZk23pz89a44p4ogPuG
/CTIeYN959oNOLoxvjqhdZltkd80Uk8POQFKSkRQKsciZLOVPdU3umOfR4Mj1TPWlkOr0Z2MqFhb
//McTVd9ws2bm2d8p3dTjbpuqrC/Sumuzbr+SPYFx8906NSIRauHGZh1+HFp5GX0p3jr5f1DNoYb
U1PwYAunuCDCANsIO3kzt1QOSzMp+BWwyNi4hJZ1b8HnDYDB0TtNvONsvG/TStu1YAYruDZ7NHda
oLVuuq0n4wI0fcdkPbBZWTP76TecDt4tgQjb79tbFs9zUFiMmEyEtPHcnmSe3FhhdjZrtV0dN7kD
KlnQg4x1/qnCW7mltlkrn946DREMJJ1zZ0vvUBJ7gbCQ1W+Bf2YVLlOHJ7MPSl34gYhRemA2PuNg
IX+n0xBJle87V8lGBCHBWr5ce8O8gMn67Jg1rYEn9mFFNNQEK3RVpMM9JLqnzneOmh3tPa2XWzkX
VQBa+mL7GPgHiycACedV4FdIO0QdwjNJqnqLYfVc1gaDRTO5oXl7HBxM4HE8PUSOzXk3EkgnjCe8
7CaU/GrimpRMBFSP/oDYzE/I37JsbTzDP5en2GYy8vXK+/fuV/FMf373X14+vzUvv1BFfXfvs/Gk
eMTtZQibGFi1cfzj3td/wwTG3J5preB650vfpvbub3gsyJnEjobZ46vP49u97/zmKjWUxx8wDUbg
/0gVZTmqtPxvW6nufQIWKDHwcuD19NSL+OHe1425FR3P8tDPGWXDvutaPEsSHB5x0M/I3AH8d/56
AZjnKnJekUe07f1eB6lnKbbe6Nt0RSPWM1eeJvxnq8VPYS4MbEZB86lebdUpWp8Hto88JT5Xie9v
rKT6ZPQV3B2vv3Z9FAzG8MEB/mcAAbQVDTCJ4o+OL9caV/wTbby+J+vvFOVjGLghada87HLbAxgs
E0iDkSE+gGslI1tRCKGhsWsj7XGLgeQLkcZvSJXhfyl6oVemuNMAGpZZfAfd8WUBdKgpiJGv2Iel
zTQ3A4doKy5iD38M8z7hV61bvnrAE2MgihgYACCO/Ig9lcymrYxbDeRiKokDB8GYKhZj2hDo3Sbi
1k7TW70wp1WSyI4sAxiOksnCDjXxAFln/ARMsA2k0SerLPZYv8U2Oks9fSDA7xaNJSw/HRtea4L1
hhjxrgUjmefGHVT8BiI/z0wN1GQMcjLuJkIeoLK6YwxcBCxlZFQp01nuffSQUN17G7hc0oKaJxTo
EY5xsfdLmyyLjmTISJEv0ZqnpONNn1kNz8doiAnRLnR0MoqZaY6etqnAaDo1OE3Lq5BphOHdrFib
MSyJ7RzRSfsy91eRYnIWis5ZOtquVKyBxGWAVX+ckVzv2shUm/CYwXTkQosD9wmeBx06ME4IoCEc
0RrAggsdlJnYp86PwZEqcqhUDFGpaKITWFHw9QcnaqoLDhvgcxFGdoDL21TRSHWwpElodJtBkUqF
qO8Z+sZrF1ndOlU8U69Hl6srxmmDJSOI+uVT3+gmfMOe0ZxioqaKjtorTmqSQkxdZu+C8Mpfe5Pz
1lQk+FBNXYuxKwKz4ygzz53W0ZBA8IzYSRma864A0DooUmvC/BT7kSv3XTuBcYhGAuEhu3J5feIO
KVZjjsQX7SB6KkWCrUHCYmqaViR4WnsYTx/8VLwy6dy5iiMrpvaiESPC79mD0wBsdonrVwK0FODe
rQnJan3nDg1dRxrkwj6N4ZxC1U8KWm+OIHfj5yniMy9wBbE46XXEj9N2Vsh7d8w/YEJpgR0myAkU
GL+256eJWTtTUUQ6U6KpMNRsXSqgfgZZ31OI/RHWPushdGIKv29Apz+BtKmJeOX+g8/3sEDrb5zq
3Ct8f18WX5KufifM+FAI74TJ626B97/A/RcMzWMtvugqEKCcWWhbklVQ3lj3eukMwJAJEKA0OHkq
UoBB8AGoCCEDGS/cj/Yt6QOIA7442NBaFUtQws4uw3w+ltr8ItSApzYwENVTR77JPDjHZOkIJIgm
GOKp23XP5FgM5XaKK4sEEK0p31Gktk+MsUe2EgJioKO3Q7M3E8/+GGWlfezaSka3pIBF3qGrNetj
iE8nvKQkwO9y6pV175MKylZiY0+CoxFGkowOK91bJTzDMUU4NXLuNnbFwJ9T+KG3+v2CR5ecTWcf
O0uILRRB05hEYIHL8M5blpup6LsAA/sSIGe9lU7EiA3v8yanxWDoJQVasfRL1Lh3jYNwVBuJQcPn
sQfzIwOXuFL2O+wShqfaBrDIp3jnhXgn/B7XsL7c+lZy6rPZDqpKfzEmnuNlAW4cabkxGjLourDd
12SycNbCmznTRTB34Iw0DPCrAqVIdigUZLM1ixe3HOKNKQBwupA4kyx9FZA5y3Qi4ENsi5qMsAV2
J7Uhn0OF83TheurTuWBnmGd7DzFiseyYtO60wbuJFBJ0gA3qwAgFHMAwHWioCz2UxtFYGQooKhVa
1M1HwuGAjcYKO9ooAGmhUKSgnPNVKhKcJbhPZnil5qAbQT6ieRCwTJPURnnTuOeQZrdUuNNagU99
VJh1LK5WDBLVjgABNw0IHmipNK63JfRUDW4l5aLzTLLrp3QEsDpO8jQq5Crz2FMICsiuPfQYyc2s
4KwCSmulcK19Wm0TX4cX6wGlBugK9TUKHK00Vj3q4sJMzIBcO8Kt5Bon0DtyWYjWgQ7r0FJuRwWM
Nb3ulCqELDJaMmjmaYtT+GgpzGyfxCgyIc9CpuL5jH43GwB1a8k7qHwvde8eBIqQDObbAMI2M3mr
dWB2jaLbumBucyN6S31/b4O/LTW+GgLE7QbQmABycxHv/q0nv0pBBLuCv6gn2ap8+t9yUv2hb2Ok
rwI6CJAegyQdXxpf+qOcZIxE1oPJIAktmbKWfSsnEdD5PuQCTGeo6Nle/DFF+iqtY4yELN/XWfAh
2v8HUySl4/+xmFSBpsykDIgh1LRf5RvfDW7rsua0xWl8W/epDfvrq0zNdm8M9E+NuqqUhg27iBK0
QZ/RfeojpXSbmYI3W++rAm78qoYbgTWj+TLDF1rsVN/ANJUaDZ6F18WI0xmrGdPp6NbKioQhS23F
pGIbvZgYFC/2IoHHt36oVFeFC5FrmB3urr5DrTqvmrknvAC4YR3vXR7rhDynNliriYHOvo4aso4K
mEwrpx5lc0OeHku93pxHdxN53D6rzHOoLZhFvdmJ3/179P9D9WDi+BdH/wXi2v8efTUm/Xb0v/pL
MHqx20MFhT79u6OPvwTfOxNSeDLKA/bH0TdJVRE6x5uhpv8fV8q3Tsr9TZk0CaUzWeRZaIr+ydnH
LPLz4cdLhrjVQj/Kq+Av/LGTIlHJhqSuLzdmHj/VzCsBUs4kaVQ1a7Ml33q1szN4ftozaWGT/wQ+
CYF6D6Mr952H1LMuZtkd8jTdgIIK27XrkoqxSRAVPMrSNzZktt9FWtEcOmoAMP4y1V4FUmaknIY5
xCc3HPIJ9pqOH1q66b7tKPfyPu3vdGTqMJydd2OmVlQEUxArjACwMNdVTIRWPZUP86w9wX56NOkG
VrqgHNEbSmttJoHUOxqw80g6+NQsJriqYlxFxMdWqbjlRnwSQ1us445LJezUsrsB/hcWX+aGkMWY
SOLQQmYvSKiirZtuusZ4qSV1sj2Y/Rqyxud6zJd1p6Pc8CdvE+kdpPQyJiiNML2wAuw9H8ap1AIE
/Sejd29Mknp7Iz4tvRtgf3UxJMQqNmo4NUP1HOv+B81ywQlK8y4r201nw+dKyPFr0uWxa0amuUZ1
NULGQlX5RegGG7bk3u9VM0ZYbRXlByOfn7K2P2nl8EVv6MZ0bXYDYZo9ngTU6pqWdUyks33dasDn
YieAni3WoWAxZ7O9uhFIZBFU1mxhO7J/iScOOsWYLVO0Rjmy2I2XZUtQTOSDYu39FM/RsTDxoHRh
qq+IngkKT3BZm/u+b5jpgAwxWalewMbUFdJdp893nQ2EbwWd/gCHIMD4fukm2CtmKUQQF8PW0sPX
DNZWJifiTXp6nmJ6iZySZBTKsFL6aFAUHDDGTRCb2ovegL1sho6yIkNTgYsIfIx3QW04bDydkBPR
xw6pziZ8u6J5F7comkSX4woQEaIql5Tmpen3MSmBQOqILZODu/ZoVHdIFLqt5Pxfe/R3rmYdABk8
oUvc6714GgcmVlHc6uuuFQYrPJGe0UxzXfhYemMbPlM4kNBSTED5QT+Gu9kw9Gs1meKOKSetWTbs
fKti7Rsd84xgr6kWL2zzbAarc3LjmoIAGtvazl7OLJiZH3JhGdhj8Tq35VYMyfsygiTsA6CLCF8O
UjnLG8uCPTjlvz/d/3TR99MizobtzNMG6zeGceUR/2naUpkT4GDNN25k/phZn217/bf6h198Cy57
LK86z0jQZz/t+uYqmto0caybrH3ts9u5eij887/l2e/lGcvdv76jqrL9xcBPiTW+XVNUaCbbOpdt
nwWmRd1Ff1Ro7AAp2X6/viDR/feWcsnqYovsMo2DPaukuN/v+TzCMRDVAm75x3s+JQX+sURj24yC
hYGkiWSYE/LjLZU2WibcRcQ3uY7n5xLD0fg4GXrswb4viugWCIp9XPra+ejE1sguWiswupF9MX5o
Frd98mOrfOf7ib0EYKxH8PWF2z23Zm/QOjN/2zhxis0q0Z4mwcNniljKSCGyQEzOreeRFExycT+A
RJPzyxgtL2RLW3zS7p3Wywkf0XdCTe/FzMjKyJzNNECj1ZojogpoUi0msqghmIJU6ZesblCB4HBa
odFTkH/QHjNqMzgtnsLzTyqixVvZvX+woqZZDSNozty5twb7Pk8c9i4morBwupL8GK39gXupqN9V
pvgYe6wAypC7gnjOnpCXhWizxM8DJKwIwyz7PnXc8+C170UOzMop5Bno5qmPiVAkOZyUmNaF6tRE
rNXGiqTFJbsf6uqxtpbqYjZDuVoK+tRG+RQbkLUk7ihrm8RF2JnoWKcikucCtf/iVu/J1hiC1tCr
da83b0vbzBjJJrnx2n4v23Sn+/neYMBAFmRKD+8HoEInsFpiS/eG/S/ldwAhYSQb0LP3ScE/WcPU
rwq/fCri7DOd5J1nAYat5Ccjix+ckiitrkutM+lcByx4d6wgALzbbhxggw1XEaSrSFmwAf7cx47D
7gyuFRKYz05ZnBYUvtXsobDUCZUqCpd4n6FMicuaTkViBJ0+4oEsi51MNISTVs9i1RiwxRVPqdMi
aHPGZMuwYeNUpEnbzhhoI1VArHtbq3aHa6/mmO7cet2qsQ5d5uRPKHGndZP1d8vAXWab8bWAL0qO
BNFR6dw/NnP6Gg4j0pUYnIpNACwY+mdHeO9dtkqCgoTwW9Rx6mXow702e0SoLDcyI0UtEVs/vOWw
lldr6M/Sz26X2fmYOIzOCsCd22ZKmL8x4YEkMZ86h2Nn2Om5FCWXH01PrHnPGmm+ioycBEY6hYHW
KLBrxiY9vyHs7AQv+nZoGeN1yh8auRb7tfojjHUWreIx72S0ckr3WA3OzZyQz4RP8KT5qC2HmuIx
bB8wUr6SLnVpnP5NhPlD27kHg4yhdMjYiscubnvpE85Z8j5g3PgsjZGP2IJrxZskfrrCueGHJ8J9
jN/XDWsuQ89vRGjcojDagq951bQw8EpfJ5YY211u5rcK38hUgrIz74rn2EFVwrUpVppeyJMm+yqw
VZZIiB08cPP8BRtMtulmeWe04XtJeFaAGwxbE4pD31vOsuguvZExiLQ+sIF+oZokvYZvOhL+yS5S
huSYEMfRSn1nmdberKDIQb8mh9SxVoXlFduZdFVLZErQiD3Zjo8+/d4pMZrirgUZ3B6nwVBa2oIw
JTaFrPprxM2p99znhWRGnhNHXyMs3dZS73ZMaxFPFiU73skSt9NsHZHQGNeYD1bAe25DqqQysQeQ
K4wZp+elLqJ7CPrylFqpvev4FWxGqcm9gf1zBeTPNVcROBbyRZ0u3neaiXoBMRsJa5XOvjdl4fjv
Nf31mlZLtD+/pj/0r7+4otWf+XZFI7jR4RE4YHg8pYZiXffHFW38BswHjyHqM0UB4fr8tpMjrJwr
E025/oeC51snif2GVZzh8yXUM5b5j1yIcO1/vqOBtLmAFCxqRGrFn6tE2TWdPpWTftOlZP74hb1z
SJk4Ca1XtHCjghKGy7ovLJ9MphBVcKmeq+TQKXovVkPozYnl2+emWfqV5WWMYEdnN4zk0npTdWkW
jW28jgXP+2QMGT6znBwdXBzrxRkPfuhtE5c4rSqJdn0bSi4KliPuaD2ORbO3krh4wGLRsy2qPjmj
dyr76pFYoCpAQJCsEDd+krNaDbRkWDI13ZM3NREoVsbFHYNNVNmWdauZzil0Rn/TjTop3KMWrjWj
Ib9T1nC3uhe3jz6FORNiMRf4EQEVHrzCV1hH7b6Tnrz1aSPJRGOxLU3iwsMZ3HdI1RtEpDqQvz3f
xhOJG41vfm4TBxsyQpeOcRDCgveJMB+60q/WWireqsyeNoSbP8JE3CTw1XoHz2K+GPuw9j/rJFyi
6ycA2Z/uCj29tI74kBfRKV38Bwws7specFQ3Qn+o3JTkXd6EjudUIIkVYbhrv8wIpgPoTO89rA5K
oWqwSyG119JvVfgGg+nkLqH2IN5j9MbjPOsQCYqKtrMiPUOJWpLTMJfRwUzb+149ZicbUTaSQeIo
IWemxKKiDwf5tGA3qjWNYVXhC0JE/E62TM7LJt8kRevd+KKad5K+kgcQ3qACMkrUNm+iHpgIL250
p/UZMZKJTSrxkF3rWXyR4MtYJDhw2+JU+FcZQ3crCtKQwsyO1nTW2baQRXVkBXITc9sFuvRuRq1k
T+RwW0Rz+SXPEEi0RnnsG3GtSiIJe2Qaqy6xWBGxA+K21HbpBMF+MPqPThU/ZVnWBw2ggVppfalV
+b1F/HJlQWXptVAEk5mtSPlKYv0OxYX1/9g7r+W4jbWLvsr/AnA1QiPcDoCJHA6zSN6gSIlEzhlP
/y/Qlo/tE6p87ztVSSRHw0H3F/Ze+2gUyq1qV59GNPs9qt2+BlxfwIFyRdfoB0Ceh8rMj1MnfSPU
CRJLL4beTzBkHLRJZfJNjMGjxFm1J4ekZOFjPTYdyI5W1dgAaBiu7J7KrqbM6YW4y+fuKMZ4V6fJ
XQypnQTZl1E07wALS7ClauvN7XBtU5F4jTmSFCqKs8SXRemhHHGNGjtTBPSiDv6JIlxl9up3Av3I
le3mb9Sf/WZQq23VMmwpO7Kl5mk4pGT8IS0S12M2vke8174JLNYtTKqPUqNKLKqzw7TDtMttEukt
BWDwnVqLUoewByXDG4G7toS412OCSmt3BkgPh0j+6EaJP0YD82cnV3UACj0m2MdNNYJqovbVTupT
nheParo8qUp7y+sDQmpA7hidczNhQeEFe+EyELGAd9+u1/3VIu5aR3+dO6digBohip+U6QitSzmU
+dh4xRBfQSC4NxiiRlV6Z5sFW6YcZc7G0NelqMV3wXQk9zmbuyaoey/RleyQ55QDgpQ+miXTrdUW
smFpgSsq+RDPNpk8WmhdkhLsISSyzANJAWIjRGWnsZcOpPhOJE/i/nPP/toO/8979vqt+g/3rPbH
e1b7ZXXsYUu11uAqjcv093sWnjKAZhwAIMZ/Heb+vGftX+icmeaSao3T6OsK/tc9i+/T4W90qHvo
Vf7mPctL+3MvjMgGu7/K2JZwawYzf+6Fm7rNDYnM/VJVcBlVDells7IaK6CNalLvglXlutIcg6p/
F+AdY5OIDwHwsZVBtkZHIrCqPaJZznIhY0UCiQR31W0E2EgTFcAc2Ddi5UnGrCb8GsRkCmpyBDlZ
gp60QVCSJHwhV8rY2IAD3CaEIdQBrDRXciU18IdiFnjhncpNV7qltXIulZV4aYO+nLlf1iZnx717
EHK0XDj3T0ByblqwmXLlZ/ZNQWCXPmQsKOddMLEznKVzm4HdDEcefwmHc5Ycq2HGGT8D6RxXWuey
cjuLL4InKM9lZXoSWeUqQD7zlfYJcaDx4HpFfucAK+Whq469CFNfq6BU95rleGlUu3GGOK3O3kOc
OCsFjUaw5WwmVcot8VVNMMO2lsBaOaZ7hg/AUjoO/TbyGiNTDxhGT7ognVhFixMUM1zjBqx0kKKC
STnJnNG8r9XYZK7XINNjU8zEsDEudmYeihE9A7xVusFWZgeYE9eUUK5eFJ3bdsFrG9oPiWLLQ6zo
e2MOPpjbEcliTLCTzdxrZcIeuKQ7J1VyX0YBKtc0Fw+z7bSwaOQhL9CXGGF1R72/n1BYuRFZylQ5
be2WcRscTLRBdFH4bavE2XL/9v4SxTOQHNAHgFq/N2oBJKhWB7dTFu3OqVGRLjJl3snuV2Gs7Smd
KrbDF26KfOT8TGJJcTBXGhVrqNEdyes5VKCqppVZNWAb3wDrTXZdKbN637RhGdzbyHWOcLJ/hEoJ
wCZIneOCuNjFwn9o6vChFSziRKftDYWaJe9Mv4166Q8kydhDURLT2kBUzT/LibQcYxlPYhqeqxb6
j7mQiq4hcoxBfrlDUD3TwAog4stVX0xXEFYNt7ETBB02iqoSoBC3TLHYPBLKE/E2wjWw86Iy51WH
xsVqqTVtdStjqLWtgZ3PSdtdYmlXmUl9JZyOZMTgMoj0EcUpYeVMJkKtlruBRb6bqHXsN5z6W4pT
3G7pOQph2WVh5AvHOReZs+8k1KXRUn7EQfyICKSmUAwjJADihx5XT0NqewpNPiMZTX0bGukrqvIC
4wf9dmefdUSvroow/pYol1dgCqdWtX5YS3uaZXW9qMYpjBdj05byMpErei6aHFIXueiVZZ70qXGx
44kNwcl3Q0jqRBrP4HweUsU3ZvtUxTCSBnwsxNM3boFvKB6YHnVpdmvHluJqZfNSKR0jp577Xllu
IhmUrql3ng7uOI8TX1HM/dKOJa7HpGZv0zpug8V8JSmDOTrAe7qwJHV7g986otfTYEF4SvPl1TFJ
8OnyxjVZ1kqwl5mShG431Ff9uBycKn7XZMW9qZJBn4/OpoqT+y6T704T1V4/wfkoauspVNA/qXnA
Q1xGwMOizs9rzkKqymzatV+4239u3K8bV2ep+N872/u34v82+LK78t83petX/t7fIiwl75e9vubw
bf8EEKe/NQyAXLiBAPGssMyf9675C4JT9va/trB/EAnoBCY4kPMselEuSRwqf2dRChDir9euo0mY
OLbUDP1LFfvnaxcaq5Q8cMq1JXO8FOVhgNqyKTKTZakKeD8FZqagynOTKL8lFwHiWMwgbQRxMM5d
6WVJR4YjCpwq6ROXARNU63EG5l/boxe37fuYT09Ii14rUZ/nXj8slmlfVYRF+Qb6nqDSH7kodjhW
Ei/ssrtJ46kBK/bdVGO4bWYLTELcOuz8NqMdSPaGDYZl63NaY3aTsYKTB4sO0g5h7kDIe8Va/Nyp
n40eQ3usVgiWCO5N6I9Jc1MQNzEVJvltN64xv0ag0473yNuWNQOYRxly9Cjx4JOF9lp9pQUn45oc
DLFmjREu26586OtEVAwWVYNBNfCeshydbaXyxA7tTKS6YBVaz7o/SHazqZLc9MmMOB7Cdl4yEO9F
8qOzrI9AGHgH0Kxt9O46w1fSYnwPZiIDRgf1KUvMe2tS042aa69J1mK2cRrNh1LBALocwFy37bEW
xTuNWUIRn0VgNxElQeAxcwOLRBrSe0cWW60Z9VYE8czqET1OzBgmYTwXRklUk1VeqmUqr4hPnl3F
cvB2OBc9rA5FhmdDbXc5IOzMsY6TDJ4takRyl/T5UCJLZeQhDkSSgwrj/w1ujKyIwCwJT87IvuP1
fLND0qmG2ILuw9u3sVUSpYJRzy+BLR4YHCBlqnB8IIM6GXncpYw865hdr6JlfpOZpumro31etPlW
tAwShEnWV5KVtt9U4j4c5tuA4A46E/1Sh85WmTRWwHgHEusQrB7Xgf2nWFpv6MKHzs4vxJjttElb
U0QJSMPa3Y5MhBMJDDlPvkmrfLBKJGKj/ZQrCzEMTbuf+vChKparZozv8QU+E9G3J4eNHOEsqlyT
Y5oeHcgC8+ytUBHPTdZ8ZRalOPErpz/tk4+EVL2h4bUpcyh9XV8n3xpr0cXaYcd+ZRXvEx8VbLo+
Oy9hcJfLujrMsguvdMW4j/vxvVBaP28fml5VXad2bsMo8aoW9VlFeISpIuNOsE6UyY7QkH08J9Dw
df0M5uA170PqF8vckjkBErKuPPiDVBwKygMsNG9OgOtH4DVezOV6FMOFwf43TRtPZauQFDYh35Xv
+NmR2ATJ/RJGlxEmSN2MV5FUn7JaqL7Q5m0NOQCqvnIdCGeXYP7pie1eTdDvQ4A+mJvxyglneIdD
dsoy/pnqEFzWd5uxyQ9g6K6GrjjxLxd/mnT9aJWyQ9czZtoWD9TsmotS5HeRgH2Bwzt8SWLMUpJV
EJruz4U5QRoPL6A4tqMz+FSFu0S3Xzu7OOc94aXlzN2s4vjq9H0TVs8Mp6KNliP3IKn7ytb6O1ut
kfFN+HabRn+O++YwQq7JlIHwetu41ZPwQOtyqxVO7M7LcJbDyFZIFrugaOyD01SAuUhdtNNviZZe
EfzyaBVc1ITWYjlaYSjZOSrqEyArIhEN0g75XQCz+m7kPGqiAW+jXaYs7w/hrJKCFQ/7TMPh62h3
fEiOZU+CStQwbQ+oQC04nn0/POdajcbYyLZDK27KbGQFgSVXF1BcRuUAbGAvGmPboeHOl3E/DgAs
YKFNKKS6bLntBiQTVl5DDGyIoOcja2NsytvsEZHza8o+wqjlocPe3BpkDJQm9JroaWjje4lHHBpQ
tpFmsB1kRD1jv6eiQqUBeWQBzEoc2RXg4WOxrGpTdTxHZXqCwPA6Zfq9k8GPRN5NqG4t3IQFozHE
26KqLhLtQmzZn//UJr/WJrTv/6s2+d685R/Ff6xN+MrfaxNm7+CoAAj9Rvz9w0yAxGxir9Ew/sYC
/ldtYv8C2QpTKhIbZgNIwP61H8ciCx2Q7QkGbefvzt4146/4COb7+GF4dRL+n4br+8/FCUGWRbug
i+HxsGlS+rjaIq5K/ArCbm5N3bZVUjLiJ2kML2OSnyqoq4zzbAtKSRy7AUh4Lyhs9S4MTZ8OM9/k
c2G5poiVk+iWNxloC2Ci7mM069a3knTNQA7u9V4xz/A8wHAPBAZW01Bfs7rwkzB6wjjqj9yW6IPt
Y95pR7yKn+k0P41RfrSMFOpsQzSEtsfoRb5Qgh4yzsEUJBkXM+vYbL18WZmvsm5Dmh+JxSjfVF7T
QfkYByr51dfjTuOMarvMf9TrQZUK5boTQ4/SvqAMWsOnsNK+zxH47XVn4WbW0G2GHphJP5dPUV7e
aiaT0JLZsDUTBlv33UCcIOv+cxgfzEq/46I8kyT+sXC4zMWNqVajpzfpdeGYWyIxv+XotQOGllEh
HwaJJFokn3NoVNBStFu7wchoM1ckL7Slgeu0zdx34HayKMPikzH6dvSacet8n4ed9Dr2FXs60sTV
GVr7ooC0vpSI+ck5QZ4UJI6vdGZLwmG4TyOjxf6q7/peSe6kmmnehLBuk8yYkNUYp5EsFf1MBmUM
2Rg4X8oO5shU5K7EyUG4TCl2NEMHBLux1+ggbw3kr/uefMv0qQgVKzxr7ZJ/S1oJ8yvLa0Rf2bC4
k26OqMLjkavF/iQOdz9F3Icd+jk9Z4V77oKudV4bucQ/8qy0MBurtLKxoQZb2RKFZYmY3QJyfTdk
T7KtDMyw+aLFj/T9T00XT2x1nNcUGZMrwb9cRiPRPKXqYf7O9oNTjAc9l8RkB/0uWxhkNKr6qPSB
itBg1P0pWAqWRmw1mcvWG6vViktbOF5NsbmBuXGeopnKFFalS6o6TOM6m26KmRm03Y8VqbLDe4vd
6mSBvnVBYnxUajS5iwG5N8Y1o9hlwKQMvW6uSNW1nK7fN5DE9lpjZve1WZP8UlrFQ6pxm1ZqTMyk
UT2Udud1nalsFuKAAERK6JlQlPtAIbIZFzVOs/kyrtE90PYnN1/jfGRMedGtET8zrNtjN4s30ljc
OhqfCHVFv7cGA5VAuLzQcOaNNhnKQVGc8RWYMX3JUgdebHfFbqrK9Huqy3af9SOY59oG1RhN+4Eh
B/gvZ8GXzpRig0q1uR3XCKMo1BHQDfN1a1oOtigFc04Z82TCnd5Owp68ToNOpdgLVF4y4DYsoxb/
n/vo6z5a17b//T66NG9AFf+9T16/6uddBFHRYP3Ld4OLoX6ljv+cT0NUVA2qO8ldJaWxJgH+7JN1
WIsYOYE1wEr4MmD+rtXSV8bDSq/l264a5b8VHcGi6i+NMnNuJt3AH1B/0Srbq9z+j3J6E6HiSPLD
GZcZ7pklSx1XxUd0UqZanAqrxSejiLl/NZLoGAfzC4Gai8si8rs+QF1CyTVaaF6yfPBrHWe4qGpo
nknMjIcMk/IJJRWEKsIQ25C2DQsOIFZT24yV3rwZILg+ul4EHBaFXMHLDNAKxMoFIYQkBsZJ7bNg
xBedNQZerCbB1zyvUEOH0VP7xTlM4wrmYbLiDydQqApwHNTDoBGJ4R6QBjs/Ahvbs7kCFBWdOWm2
QhXbGUIqi8Zj1qt0iiXDdsFEerxV9eUqgssY6MqVUWYHFV7jFAeLK82GlRRjYrdsubI0MmfJ+DN3
olJukqFO7qrAPnUrDNJcsZCh02Koacnv1ZQx9WcTxm8DhBaqX3+ZuvaipGSQjyEE1dmgyafZ9qMQ
28OGYST60Fifm89U7+7jTNyzAMklCbhdcaPUgDN0I91ywm/DyoyesYG6Vgecsg3y82Cg49FL0O1s
M12tokfVShtDPtSJWc/vFVOO28pe05/rRfMaZohFvWIoM3MzaUi6AuYYnqYW0WUIkbLFjD82nEbb
blLKO3NkI4dYqhVzs9GdnvAvjb1DrJxx/20HRhtcmJXx2DrQCyNusmbO7C3LiRgXJrd/z052qazq
RQY9SwhVYbC/KdDVue3cJH9PBrsStAB0SZNhOqRllkB//mDDdxpF6sCt10REfZWN2htEKNtlbADP
85/z79fzjzPpv59/N9nb94/mP5x/fNXP8w8mjYD5gi3BlIwJBfuxn+ffF5PGYGlgomb82rT9fv6h
byWPA9uEhmhaJfDjj7W4pbKhw/CukV7IzPBvDQq/aNt/8qZjTFfhDqKUphLnBPzzx4SMDCbwhjVe
OmTTrtGBOB3mO6sccPc54SVX6+Q7j1iBhVN/wLiauIOusPWwxk8lElvNBJ+86Ap4Srxs6NJsnHHY
LoFEvjch65opQyYBK+3OoEncCVyVu3GAVpODVIwq673X43tzWL5FbEZcLcMGq1WGO8E43JNNetTX
rWFuUXPrTrFdMu2en0VmBB11M/aRp/UzUEibGWVAxBTKgkfs+YzM0/BH0tpnowluhTFdIoIhSCuF
1cF4SYuE2EIMGIimHm4mjexzW9fMjaUh1c/Z2AchKpOldvW650A3VqZFxYAoQk9AlEbrp8xB/H6u
dF9PA3RDGfIDPefQrIyHxqFkJ/yr13W/r1qxQesXY0yeDyzFDbcrInsTiuVJOj/QeXqNNq3bnyOV
/jM4zhi4Sjuxn8f+18/ogsyBhkJO88cgmOGqFnBxBRq4iJ5ClUMea4jLxA1xJGh/9iNse6zLGFvX
674qLJunUpHvfT+frDIlyGvxCAJk+6ce4DPeajOO6FCadzbvUMA8jz0/Nscsu24M586MxXs6LaBW
yfHdUHeTFGKNj7lmvCS2c83Zit9iKIxt1avtxpmsEzq/Bxz6BZMd8RQPSYZMCquxHjxWU3Nd9cop
bFJn02YZUANikwblodL7qyma7gB2bIF7P9McfM+IddlIRp5uU6GeXNbJoNbWn9Y834se62VtOGd+
TVdjYnnciV5gfKoVKYXaavDul21llS08I9gD5COZCYGMIrR2S2IxZi7KV70wX6j9wZnM05vRj3y+
1JoxyZoUMnQlZJrsB6SYb06jA2yBawnOm/TKmYDg7seg0K9okf4g2aaFHP2bJahvVDF2KKnxvLML
ijaNMieeEvV4YMl0YbOWPiUdb9JSIEeUETkcRq7ddWblO1W+nwmyd/y2Q+JDkFx4rfXl09S+oKfR
eeZeclbMoIfBxIfcKFjNH8t6XmNZGucQQInclFY7MW8JYgr90XD7Wk38uY/kJlaqT5as5DyyX++K
2yAKktnv8rReHgdZrsYW+LYtGIEgNe6LQK9SPM76U2wkQIPU/h63F76Q2cDFZDBpGgcvI4ST9A1n
N1dji5zMtr1ubLJjTHfi5wO5vdWov5SDTHzCR8mLjPhI493H/cKGLpZSd5U490Lbme7tajI3ZRRd
pmj5sd69cR3aHsjKrRh7jwE0ZQHsZr8Apuyl8Dszy7qeDCR1VewuTDRjWWwjWzJjtaOt2XWHGFpx
I+A6TOVNFvdbcDhYt5X2RCYkhdfQHY2oACmZThhDSKGbdRWiK8zgpLmZ6v7RSZ19oxtUL8H43prG
U1nqz7mwCMEIyP3NoCnU5I5uUU8/SbRvbL9Z+SFavB6DwdkUow5dK8quxIiUnbUMYNKVv9xJdotm
tdFqxW/09HNe6scqsZ6qOj5T2L3DYIIfmVsXswOX1ZeCMUdE5kk9orHt2LKKQH0XU3Jna8UVv7ya
+QP5q11qPeYDmvYlg3EkRzvya7iGjFUNxgcO7su09sqOh2nm0bOWlY2sHdoQbxXpI3dwcg+9ph6Z
b5+CvrtKZYZx3LE6sFomsO0BvoQe5+DBLIKsjVxd/CDtPpQIF3/p1Mm2650Yza24LgJHgVbbz3ut
QFEcBm/KnF9F6fKozFjG1Wn+DsMkuZ9XkWKDWrFaZYv5KmC0UDKOJX4tZZUdlEigYts8RageY3CO
tNwif2AvvlcK7dEC7uQGFb+NzApgYrDwsNFRCvSUVl4R5WD2uKa4HaoOdd3IqjjP+Ky1eU/ZlokQ
g0Mj1BnXdRYWPu1Iu22/mn/taxDwT0X0VRHp1JH/qyLq87f23yui9av+WBE5uGMIyljrl7/kk+Cg
ZtsocOJ8OaV/VkSG+MXgr5hCMrf8rY/8qVgi3gw4n3Tk71vVv+Gv1q1/Uwaz0gX8w6ugx0Tj9pfC
GaBugSd6Vi8yG7t0jxcROLZdp+ckyFxjaW/taPlGt8Hz3GW7MXS+AZVmuBUFG4kIwwmyahNzxDR0
Q75eNrfmUOKdE2TjABvIp4M+td7S79lHvpRhyKHPKRZeVHhnZ3QttmvKNTxUXYAAt0yvCB/7ka3x
l3NPpLAR2C/YubGm6ApY2LF7Adm2HzU99HQ53MRjp/s1ZkD+XpyWYWLWwtaIsa/Jg5w9FQrLwrwR
H3HVfo6L9sMGmYpvNY1g4E/3uT1xhE34A2blW7Pgz4NV7yUEPLrD4lwX5jyfFCO9o2seuBUQ508B
FwLVL39oP+lrkJgueFgH1VM17JrwH8D+BeR85REsc+BY30X6LJEOt9COW8GdgAHKTJzIC6yu8ThC
Z8OVKbA02mW4rl6FK/zQtHrnvKkx5Bo/npp8HxVDhJWVqAwsm7WPT7ffdGuQBs30uKHZJ1xDg/Mj
1sANXRsaPKAxxo95DeTANIEzd8ma22GN68CVWm84V3ir8A5s2jXWI1oDPvI16iOvzedyIfwDbfHo
G2sgSFnCI+rWK3Za40KCNTjEXCNEWO8bGxbmwmO97LJgKY9EKOYoeY34jDIy8dgBt6Q7D9ZuWkNK
CozvrVev0SVKpAc7Ne0/tTXWpI5q5rtr1IlK5skA5ncDixkWN9LWjVrTPcZrSApB5h/OGpvSowL3
i4qParPC5wThKqVMshtbRzGmtmv0ijLHvoN/a2eswSzp0MqdHdUf+RraItfxQL0GuVhrpAvvHNfH
GvNiE2DJZofoF/bavDdrHEyBdHmjf2XEQAtK+TgRHFPNBTkoWHk27ZpN09lKcxqZ5J7CkdAZcIHc
FWt+V9WZmc8vz4B5Iz9j7H0bg9waVTH0HX01unAB6niXOBV1FPCud0FI84bSG5UQe+1NmDfmpq6M
gXS4NScnWSNzkqInPGeN0WlQG+3HhVA0P/rK2ZnWyB1nQHjzmeEG39twFW5LCj6WoCQmdEh+m5NO
RdGI6SFT1BAqVAYRV3fSbZnVT5i9QlcsjFFL1K5ot7B/D+2LEtbfsrKgPLIdJhc5sbdDXjLPFoQP
WXPypBblTVK38euM7puKMYyu5t5Gelt1YI3727hglyqBvbtlYdUHpzc/omx4ZRi0HUObRaSjfI5J
h6GoiF+wsRwzI3tes412equYbpY36yHinHkrDn3qfJY8p8o6Vehy+0HY8qZWo2MFxWRTNOW1JYzv
mul8GzKFpLVmuukWdpx20+zLpb1nvP0IKT7wRUc9U/eNPyRzDMw5nne6tjD1LSh27Lw4jcwqGju6
CwWGACvEM9Znen2SYnmbkmSNYNL2cRkdUyu42Pp4ViYWBjM7JZ6UuNkUfNg2GIOLjcHW9T2xi+LV
TLtkH+oDc3+DaLaJguyIsJ0a2Szha8n83WklZ5boC+TY9U05Kvdm2467JE3jY1j0PMoMlv10Hm1e
EhXfzNaB7Q5nUlCO4W1OxPSm5XG57deHZxEBbdf6Q7s1sjkBlLYTeAbusrCpPFtjA88J0+/axKQh
kmyeKkOd/SWhcUt6WlsRWPNu6ufED9pY9+CcGr6zAD81G/nJYG3xUmM5oBO4CNbDuZ5cyX5a1+VC
g+2lZz7r3GCbGm28RcYhdtgYVM8QJSmK5iRXAjX1GeGJQRxrO01fXYgJrzbKeWq1EQVaVuiIQaJs
dTVxSok1mnks+J/KZpCrNzyEdKOaOyVBZ5vkNLV1iEmxyJFFckz9hmr/B0xo/G+hWPTWdv9BnL1+
1e+lDnlryLoYr7DqxDD+x+EPOI21xmDTKiACryPz34bfX7wYBkJYo+x1HSv4hr+VOlRBSDNYKCHP
FnirEJD9jVJHrlXYn8XZBlN2iKcWQjYNBCI75D8Ov7X1h1dZnSGgtuhMjb7dqMb4hD4LMWmtXKpI
kKqzxGcwV7hoZxSMM48a+n7kN5P9UfbxmVbjAUJM5hZqjdBZdyqcJAsSC31vZz19WeDz1O9H4KU5
wubNqOSerqsvrcTAEgN8wozrt1P9FlnJee76D7iu/giUt4NxtZnV6lxPxncW1ztybGKWYiCO6SH7
fVI1+8ZxTm0Swu2Q20VDpakT/AiH7crUykdrHK5HLerduTHiXbRob1nDxEqI50gMcmsFuKkrNrG7
Rs1C6AU2q1sgdnLqhq0dVKdOU/aOnvhplNwHA4tQVCyQ6itcSmjENi1kPmyUYg86X5xABmnuYo+L
pxRqgdPIujh69oObvdrNGoVbHCIMh0b30GTlZ1bBihDFCHGhTc4pWSheHBKuRHpzRpioJV1rKmcu
EhtK4nyMZFd44Zg9drIhXr6GmWyXtxEK0U1hO0d1UGBDyO5M9iXsrH5HN30bA5AjVACB3ZyPO7HY
3LEcBYpW3E5RkeNZc16SRAVlXCl4l0uLPa+eu7OpPyx5/EJmrzdmaOMQwLCKjOMrA3lPUovPtl3M
fbJMSGDifvYp5AiHC/Tbvou+RQmvP0TEu1lC4jTMytj3JpiJqtANxE79R5mkBwUH8hgido5bBuad
SthQzM8RU0tALbkaZRE9sy2/mxq04iV5cgwY+10YUmrURUfQ2kxwy8gJ59L4Op6K+2mXl/2FtKJv
Ug34vbfof1UceiKvXkA+XkFpuWpihzCiULVZZbBRNzQub4fYKWCwOojcjmAXvbwuIueqjqV1yBTo
RGEbgxMuX+qkjrGsoonrYxJsmBDgq2PYNCBfU7NhX6viRtNat5IjY0s1ODVhf2iL6rFXhl3ZFohl
yi3KRodLNEYl0A6wOVfXkplFdLFieF7q+KMdNFdJph042pmSBj94YZYXMfO/mq2bsh4Jy3GGezvN
tp041st1N5wDJd7OwjmEU3FRZXGjDcGe9K6Lgo3NG2aUcRmwkRVG0pfR4mkAhTdmwtWh5HHgYsML
WOozhin4pkUuiS4xtdwdjd4ksWL4JJqQKPBct1bXAY8qvIspwVlX2p9WMvVwymomr73j7NRCHiK1
lt6C4quhZMSniJ1w2inKFPqE5wQAAiPA0eSubhvkleEUdccySJNtPhg/etkZW7z9P0p9eK6X/jvK
zcTHY8RYUx9vZtBtLouzAfqd2fkcRwOotr7QmpMWZt2Js2dtU/AKxlNdQ+uBVyeLPDGhflemfETU
TkhjhKhj1xtzxbNUF9QN1kSgo/0V7mgXCkhTQnB0e2+wMQPirSMKuEajNvf3vwZHjk6j6Kd+6svT
KFFCPtMhacMl7ap9GQJYqRJyrQhPN7ZxLMEfUhWpTXjXIkd1CSo7GkbRbxulmXa2Yp6kNaFNtRlo
kVT7vaapAA5nMohMjOdUoeOKhmF1iS/mUS/5MKeFnW7452zMZPlaBcYbAlHN6+wEIM1Sf4LvHODk
rOOjgqAOIajSm44F/ZxO5xnS5BQ7yTatlDOR7bdK0J9yu3wd4hGxne6OE0HbrUpqU1hJ0Jn6dIxm
5BaMRx2reotT1l+rhLgj2s0n/4D4n268F1pyHbTOlZLML1mkfS6q4LuE8jMd8qdCxJ6yHLV5Yn4k
Gwr25i6ladyIiKkybFFkg5F1FmkmPGcqV1LFgZavcfGxYTxDXIbbIr82rXVuLZ3QF6BuWXWRGW3J
xYun/rwIwqUkdn/ehYpcD0KH2xJnuQ5HAMVExTw2tvyFPRx+VeWhS71Fht+0BtmtbSSBFylp4tmp
M/LDwRasA0B9cchpRJmE9D8OQclO5SWfKlD05XhV2YhibBsUT6hal3gszuA42Ozhm3CKmIlTuw/7
7s10xtmnS7qfM6X2l5yqMXC4QFA3PgY9HV8/Ft/KrDwmSspr7JfnnmBgJC347NMOoYIUmuI2ZffR
Os4jB/RWVNlVmkfdRgv1vZ6Uj/WABDS2Jhe3w6Ee9ZvBru4cWb7HXHQbwuWuDdGdIHIFOBqNYBcs
auNK0RxCmLOcumO4YaQCPCpND46c7c0QFm5ia/WulfHoxkZ7SeMe9pS1LbTuacjVfZXWEWotjQ9g
b0x+Kth5oxurPQfm646OKHItwOKeCSuoUBR1Z2ogTzreULeNsosgRHtjW92xx926qU3nyOD6MUNV
688llyBHFtjcJdwpo3rKUCy54OBI2eRJOwEeRsyEU0RpKxAOhcgPi0YxP1A7M2SvA4ii+sEw4puo
T54UsI5bpbAZMsYBB5wc90uu8UhI+0ZrhsUjbyj3zHL6XpThN13WaG6s74uhEx4r8ITS8KchwKLK
9DpsX0FePYvS3utGcz/a2klPFFcnjQwjbnTSmvEtzLNdb2kfTroc8WHdLqrFjLYT94WxHuIEO3PW
R+4/E8ZfJ4ysIP/7hPEuHj6aNv7xH2Qn6+7yZ+WtGr8Y8He0NWfjq07+feu6RnxauCINpoy/LWR/
qk4MkkCAEsArWCM/Vuz3z8Jb13+hUCe4A6nBin38e/QBZzU9/nHpauGcZcIIKNI0V7klFf4f6+5I
KwY59Lp2bsq6rqwrBdUSwe4MCducs9BI0ovTa3rq0ZSz6YzXrZY6zxy6cwcV4//ZO7PdOLIra7+K
4fsQYjgxAe3/IudM5sQkKQ43AYqiYp7nePr+DlUqUyqV/BfgBroB3xhVJVNJMjP22Wfvtb7lMKI4
tXmpMBIZlK1pZsahpU9c9HqdXaVQxm9Y7fWndhDFXlpdXhq/6XcgCOIbofXAUPLIzebNgFtBDzHf
CcdbkeQm05/KJn9iP6q67EsY0Fdo6dncrmNdQ06eZEQPo3P4ohjhdNFrK2znbgCXOhs1DAKOi7zB
KlH24SRn2pXOw8COz2naerc6I75LS6p4cKNGZuzX68TWymmLV84j4xAdEARZzc58nRdsUUVioUc9
RCYi9/p8fIY72F1Xleb0mA4rXSzY93bq0bKKiDSQsIzulGhCCVp2sW3PB90qK3ToBppksxvLp7jF
oyI6Ipcnhr8Y+SHbFOPOaQrAgVJ7o3aVa151UpZD4CAKnVSKdSB6ottRSqnhGcPMMOCiETI3Bky2
F/kkLtyEOnujSylQjiaowUCwK4gHmw5mVDZbp3TC7kKKlbYaKWQYKAI+mP0hdUklUP6DtfyKtZSi
rT+vCF8dW1X2XH0Os5+5tvjqd2VBMyQ+xP0tB+ifagzqAuE8jPzxSqNNlrfub3XB5E+Q08C2hPlm
EZb1vi4gs0Znw4ibhYaMHvgLF3Iwmj8UBuTGuL8IWsezpeqGKv/8nRrNJQa2cBHlH5WYNseUn1cH
dfHWkp/h7u3j3JRNxcVhVPiY+7H8yHt9WUd3YxRHzKHkQ5HJ54M8TZ9uDhZxdz28PULt1+fJH+iv
dRJUO6yhs/Lrk0fgHo9h/PZI8vBXPJ/N28Pq0OZxBuN65CCzVfD+/hTdpjnOJnS9kT5PyMK9CTQu
NjM9ioJVQVTulCNb24xByAbYbO2PGTfUdoaFpftYpK6Df9EspnEuMhSxRJCU2Tw2CudsxF3Bar6M
HhWzMDfC1Rqull3iocLVfGfG9jk8YP912nnq0VXNndDy5m6ubzNfTeeM2tqDqtjp0bay7pKiv4Ou
HOtiHtpZt2kVz+SOWzpPOnPIae42bj7h4WmtYUamrmnjcU3sC0ttbq5Tk4Yb4NTTS6orxiLwxVhn
81HFGgTzyzUjNKjgLeJ863RGszYr3pCallTpHpsQjS/zdVYVItLaICOHJ6BaUXm6qStmY2+QOb9x
fUbRy7Go/LWNaP26rrroCZFLfe3atU3mgKUhhkNmdwve7OgaddGfUXO09jlT/A5gS63Ctva9vC23
EEBbBq6hHj3G6AVvB7dNWmaEMou4pw1PNupbTLHiyMjiEk/bsEvtUPSvwGX8V1cmHwNy8lZJGBCJ
HMp05FqBpZ8qlc3uPawfAkMrqhPsExd5R/Mf/djXymVSRf68ct22OfGi2U9aGfl1v9csV1pDNTiH
umZ+HQf+riBTPzC5Y40KjxqjKV3J7zXLof8Br6RqjPX5v+i0IN/2pTRA/AfGfS59jishv3+hZlnm
982MY0repkpd1OBP0BhJJ+z7mqWxW0mVPE1PEzwwAy6Y6FhIDZDCJmAyuIm41LA6PQiJE2O5C5BU
W4dwxoJWwY8YISzRmagpMGu0XV8Xz3ErHr06mbPEOQyTRkqW2EwBLvpYIs0C23+sYZzR+sdLC+oZ
mjtrDpUGEJpEok1an1ylEpOWxKxlHYlOy2Gote0bTC09OxKv5krQ2oTzGxgFWDdzZUBiC7jqFRLN
VrjRQ68Ba8uhtjkmZBS9ZQoWS6Qb8ywYfEDeTAYY80mC30KJgOMOtW9gwhmw4YxxeB3FdKiF+ymB
HdePIPYJLlnnUOUsUzJn4MyZ8OYSCZ5zA/OO1NEFZfOpD6wVqQfdrNIU9imucxbQ61hdkQkQH6M+
WhWK5pEbDugusuESaZVy70oIXj4VYDKifVCxOZ7g5LHCarYZpIJZKiF68ONSEGju02CnZ9rPvWCI
eCzKazU3VikcvtHG7mC6q9YYLiOcPjY6zFsh9xlaAGdCeeiEd8/5ubJaSD1uh+XRSNJP4djeFRID
mEogoDZEx1EiAssYKDLhmota4gNLsSUfHZ4gpHzy6iRk0Ic26EnsIGFu/Xxsu5uAnQr/jAlHQgob
aIUt34aH5GYeS5Ah3ou1GUJmqhyNAIDxivwI4qIiFHGRBCHmEok4wkYMHSY0vfdZlCSzhJKemFsX
RQenyGpo70rAYitRi4GELoZVcFFgHZhRI/amBDMOZXTreNmLwwAj89LrlLkUON6PvgtYwCIOlgle
bG0KCXx0Fc9hzzT4cwbAK0NiIUPbw3EdxqsibBcT5Ehziteq6DaxzvYnawdmA4xC0cQXCyHBk6pd
POQskl2NWz4WTHZwElPJBBVrxIBwzKgrMBkM8mfTMOYzTobiMI3VXQnzEm6KMydDEA1iqGjMv9Bk
pW3WzhJomWo+JHsGpKsWjmYIT9MU5gWKRzi3JWpT0YBuphK/mUkQpztmfDJhcxYwOh1YnYbZ+7BL
piNgFjRxirZA9H5xC+fSIo7uDe7xmudt7Vhhl8mHfsZKYzVIPCjoDcGsIq5nhYSHRiUYUWUan31j
YqUpEaMJv9FZgyin6ZSFCoVUG21wpBJMiql+HU56uhzjC4o5hJd4bcGYwjZ6bjqwpkN3GydYaAbn
DEIpnjM5EnM0EKhEgaKOjpLNGjCpUqoUvCWPhGU/K2QaSWsyu8kIKOF9HXeiNpc5sTjYUnVjoSvi
VSfyJVGVw6A2oMqcMVsS7/JM1NpmLBq071Y68nbR1zCb4DZW5ehVS/IvbCKAy5rgc0/3iTEzoKT1
HRLXnvSlGf/9i54gxRjNxCO9jTW2kyiXslVf65SPhLDScJfb9l1Rlcc6wQuK0uUVadXJxuReR+jk
8E6LZdZjRbY0rAHqVO09TV0jzOPd5jd+heYjY0TIp6ltskeBl2mVK9RgP3Tw9neVAB3pbzyG0Jtc
G59LK0SUQmkUMZNtnHEknYnD1ASnWsrcuG2xywmNG+x3gMhFfi5rlbQlcVtM1Mpcu9H8Up/nE55p
NbeffeA0iPHJhRThog9pE021vcOPrM25TUl9BqPMyuRDDTv6sbOmx6opL0Et/I2fKMi2tHaZUuDI
U2pvCgfuQBXz/hoKgE+jAsRie0zj0+qTDH9GYz/PA/dEoVszdEpnuqhvR6//GOvNfVU6xiKJ23vh
TupG00mCR58NyLyOOixG5I5z00Y06ZfjLNEMlCXRTWYZ66kgatCLtcc+pmt2k2hlIkQFVYMExCgs
bOP6x8667uvd5D304ZUIjOuMjTdA+o+Rkt6FRspbkzVrbOKIY3OWAYlWb9TIetUo9EttcM9daPFo
Q9feKAguZjaAl2Vih1zwhVggL9iTb3PpXH1j05zPBlA206hJPutVkI8TG6T23m4Y06plsyubowyk
bEyYAr7tnwUD9wUM+3Cto4mdm1V4r43TOkkq0oUVyj9euoOLeWTVIZ1bYeuPZpNmgI0r0JaYXrrs
C39nSkFxjeBywsrruyWTPgNyzZC/OtBNDn3WIGBAGGPa9xGQsTUGOJz+TTmNRy0gwSWoeZ/tkQWR
7zTkVTP0p37tvGZyT5pRsc2YlGlD2pHY4nk+JlXgOM9M5Mf1NMAZCApE5BwehGOV/io1tQMRqVuq
0c4irJ64YuQtoHwWSiWQqdoFFaIryS2qlU1QiqMQtb8hRfrVGNVXXKKfOHJYIQYDGltlkTr2Qges
ZJCpMqsNLV/EQ/JCdnwGLChY68SwAndhtZ751kMwpB13fRLj+xJdpVbDv9BRfnYkwZPOAYuGHM5P
rGE04cnIq42i9PqR9JeTUTCODsmTmTPXvuPXzymuJa/FEO06wGmrgjzSqrbWkVPXC9Ows1U2qDE7
SuDDYUKAvFb2D1mDXHZIbkwxLqzEvAN9cR7LqIEJFG97Ya2qMGHiq6WMu4eV1hQwDsQLxfXcuH02
x46Jc98qLyAxVhQ49AFCjre1mgUXcnYb9GJmMcrGyHqy3Qp2ghe0WAbjcVkNqHWp+wnDJ2LRKgtK
wYA6qLBwcIa5/jxhUkQj2q/tEFOP5lhHmtyHqir2g53YiDiVpYZnEkEqFMdo1fX6pSq7K57cjQ0h
DCd7cFdMtdznEG6pcdTG2j70CO5J8nuz0B56L5ayF/u+RhyfD3Y370MXpY+CoNg1/Y/pqMLCgVQ3
hbtKVIfB91dFr8cLyPdQKAvOaMW6a4vuMA3IibLwUyLMXRkzoqqNcc/iut2M1dgss8E6pAQZocqj
ECrBWjVDawGPdxPn+r5Xp6u2MgyCx4m8tCbyhvo0PRueOoE0cZSZ0rN+QcnEJbKFHtYDXJuZaTbO
ixqgnjNVmxr5+KJSo092Tw/jDO3ZLmpj7UKnXuOQqvdpWY2ErPdXSQRBOoe1GCeesnbfcnL1t8xc
MjPJz8UUtbOQmqzxlG1dui1u1m+Ju9Nb+u5/RstfR8vcXf78OiYHSYvw1f/ZDIkv/P0+Zn1QHQ0J
1Vc8nqS/f7uPMUNChupwEaNQWm/Q228zJOMDOZCSCfRPKNC3+5j+gVuPYeBBFOSX/EX0z88cjcLQ
DccwbBSzLHqk4/HdDImHMmDd0hgHHk3kXGZcMv2dt5YZ79KQWYI+17rJ5oYh1EIntSsbp5sWK4qP
Nn5vtJH9HAcyaw98l1o+ccfQtHOv1ZT9qAMSO6u7zD2lQDN3vtEm4bZsRv0WeYlibrVarZSZ6yrN
KfUMbxePlkqMXhxH2k1ou4m4YnqU1C8uJbY/VAaXrWuYQesOuvur15UoUbOwhaUjcPSsVTk2dd8m
qE05NluR6OztiK6LkaJLS+YkbG4cdhmoV7q0bFZlGbmwU2HmBYNbzquyapatOoZXZjOCWvc45GeR
67nPbc2iH5m9h1Kfizf3iyxoz4EOS3bMnuzYf4ksECe2oElmf/xaNOmr5eYa3p60FJ/7hlOAIqSX
fr/NJtVcNayvnnrLt2adrsIo6ONWo3no0eNhFrrXFBzJLgG+nDdWt6mNTN8GihfsSQqQioEKx07Z
DkzDi3ItJEeNNVXDvS2jkDpIIVGkIVfAOMWbWywsfHx1X3sLp0mvnBacqulVNvnE5rSNBcU61F1M
825AjS7TWYW0ZGaMToR3E9OincWLwnFfHREopGVPm0SDWMLQe00T1bBiI9jW9+gYazE8iIDsqLif
OtoVc51rLuTRZiBou+qPsTE0czVAEukmkg5v2uYyUgr9BKYwvsEaa1yIUcleI1VUqFbC7D7qBDaQ
sPycjV109Z+q9bVqIRv7ddVaYcR+CeuXn1Uuvvhb5SLdSXc0fNiqaTNQ+iHdSYP1iR6f9Rcy+3eT
JHIzdNcWrDp+/6pvlYtJErFPxNprANDAjP6l6fePTmyII1QsRuim/EtRLn9ft8xEVZ3Iq6bT1NyX
Djf0b2PGP02GkX/DP9duv02qAJKDN3EZrr9xSd5VRrgBVjEUhnaqBwWjEB0+K3vzc9dt3r0BYHdG
P8/+lrXpOUelW//j79//JH98HTkxe/c6OY0KAE4TB4EMTKv2vf351y8gp3e//Ekk/u3dK/gowEkK
4ifRB3vWiTsbATDgA1dhb9gtsVbM6+6xaDdteG4YdmjhK5N53z/r+XWTgSUt6NkZRPnwKrlXies2
uunTYDEwrPj1dypPw19+p3yw3n+n3Mc9HGLyd2GAAGc/V9y3HaJnTZx6LGsM8XCWfrEVPBb8o2OF
819/AxJb84dvAIOrabG0FOxVfrBzZPj1m061xxMVB4S75lYoKWjV0AkXzIfmLmjYdhs5zq5CgGa2
/UXDAMXYnGjITlWmeWUS9a4X7CTJy1V3vdsgaE9SYkmMXe+pNeQjJdLuBiON1kbsRoyDmHNlZIwR
Dbkt8FvoXUmPPkIsG5EhnjorXKY+7jEWuK01rSuuhql+9qZo5bUPkgbv17fQUw9Gk5Awai06DNs6
qWakHs3tCdlvVCxi8zYvED1ZXFgmdp3hqBHY1e5tVd7kNmP5UKMLGhWDfju70hpxHUWHiLClLkMa
mZrJrDAmY5m7t42wFqQpcLojHDZDXyxEiJJTddA153HyiB1/lqZY112TxLTYF1+Tjv70qfyjCvX7
B1/88LjQ3NdRM9TTSV0bG2877Zt7Y+1sqxNq1H2z4RxfkqU8H1fGfMc5ssoXw6OyjVfNWl1bB4KI
D//iI/OTT4z6rkwwi3//kRVJ0tqp/Mjm8ZYkr6xfVLBpV6X6devxpz/4zz6Z71/nh4LHjXpKAsZ9
JyY3ye3wufS5N86xyrDU+vVP9JY49GPle/8Q/DCjd3liKsMN9VMA8fEcD4zOACHP+prd1Nw/sVP/
9Qv+rAJC/WCZyZaBZviHtzTF5mTbiaGfepir2fSpU86/foGfFcD3L/DD745LHSs9X9dPdbeQtqie
scXwW7jHn75B/+pFfqiy7uBapFHzIm53NZW7xrrVradf/xw/O5Le/xw/lMeRsxoIhamfdJ7tIcG6
ZF3c6OjCeH17oX+3Sv8QvlR5nX9p/kv+zS95MVZEwDf/7/t/rb/+u/+aL56b5+/+ZZnR0I7X7Ws1
Xl7rNuFLv/6+5f/z//cP/wbjjL/ldixe//H3589pmMEUbarwpeF4+fpn28//+PtvOzb+25+3R7dt
8ly9/vyrvvVFXNuI9FDZl+mmzHvl6fj9Roe5EK29g4qdqfN3GzbrA+0K1zmudd8U/N/6IvMD2zW8
NbRSEBUg1fyVDZvu/CjT54UJu8Rtzf9qDn3Y9wXJ90q1zFA4H/HCE6EUtk/ViBo3jht7pnbJYqwS
KXwGY5h7h7CC0GpqPUadrDundb61XU+hz9FZNEFSr5XwCpHcYbTZLuR6eEP+xucOseicJEYWKUqP
y7bXDxiKkBaolj9P6+LEjOq+n6wnvRYPzObghJEqtPIwms1cZVolBCnBXg84p7gA4sLhQCqij6aT
PRVjftcF+MLyhpmPZ1kfK4Qx2ZDdN65yD3P8CjHNyTDCQxcH+yYPn+rcSdlB22cUuNAAfGeZ8oPN
xoQbiq4TcqHlj8yARtbrBkYDqOfsS/oNt627US+qJVqnlRBTs9AjDNmiDxM2h87nMgCX6CTWvm6S
2z4DBe9A7jRj55KH7ueyds8hoAXG+TIy1I+apdf3R6foHsgnefGa/NErKTd59kITS2B9XPnLlon8
pmad5hcww9g2ish/SnSobEXiFIseNMSsL/KXXnPRN8LYSkeWIYVMRhrBRK7Csqvm3OH3TR3vSuHt
ySRbTGFRrca8X6lVv/MJhPZ18wKgErNc9MrBdGsQGoPC6CH1p3Sh2nyTvEmuWpmzvgfkyyCznOlD
aWE8rQ+BO3xJIpfZNhD7XPXUeVtRk1NVvxe+eRENUF8njG+Fr39pdavbjlCHkIa27Qp9w0OqtJs6
D4oZXTvBjkDm8YpHa8tKHsHLxyv6oqMemCqOVzshLIIViyoUOaZcqTarD/KB1mUTgI2PC5AWBe8a
dL1+rpPP0gpk/yW8cgug8Nqri6vQS0uyxmN/UUXeyBRyutiJibnJXLWlKHHfsmwDgyCB6oM2cxjq
L5KWT5xpcwA4Ex/iseY9TPXCX/bVdJP7zDnazFn5Xrfy1PZmcoxd2OPEsHVcaHXp+Qs/ieCCtPFL
kw8PDnI5brrFJ1XL8avlHob1YZj1arhBUQZ2VAk2KhiHhWLH2VxV87U1qmtN5eDGGwkDPehHgKjO
axqVe6TD3QzVa0FGTrO1/HFkj0wEjp8OQBwA7usVF5CGdYRlNJ9qOURUK82CAl9M53Sw9CuRscIZ
TMP1t4nuBsYijvt73YmrblkpdRB+5NfgNSe9sf1+aYWmsbK8VM1ubQpzDnivYNVMw1sHcwQ69pmJ
Q2gxSA6Ds1EO/mNIflad8BGayWv+sahrjBBWSyLYgFjW3wS2698EparAczKHazVRcCuXIdw6uzNY
pmETXQwO/N5tC0KLnW84vE1GWAsv6pGA0z65znNrKJnlGPpD3KsqyIOsAG6HUE5bDJb9ovrgdOdE
J1S4iXsvdyVnQJgl2wPd9m/Vxk7qR93rfNTaBkE1sPFSy3uKzZCFlQpnV5kl7sBK6H/kvFy/5keQ
nPX35+P/5uNSttd/flzewA8Ox7z944Epv+7bgSnJRXB0ALChl9M55/55YOrGBwYLTEe5xKOgfSdJ
ESSVAFkzVSQCDvnlnIrfJCn42t6EKA4KEmgyiHD/yoEJl/S7Dp5Bq8AMbeNwR6oLW86iQ3jfwROT
WVOfrfw8VCr69U7wAccyPJtEz2eaTUg3sqyGwKhy8JjqlZqkeLaYr8dbiKT5Q0jg34HSNbAwMMqb
CF3+xhza+tjHXvG5aLx0bSfE6wSJDfTXByE3L1ylN2YpHqtzXaXNqYwi8aioVrPSPJTFc4TqlPbM
y44xhwW2++AyDol58jVN2el+0K8nxrV3jTOaj4T6ojSnBh+aOrC3cZshyrJbJV5pJiBQo1Ub0oRr
/TU32+TBVJNs45s1cdWFVz93QKiWAJ/DpV25LGki9L5t0BXXfZQtExDOKz/0i0UH8hkQppKJ7iWv
/UBcaZk3jcOqyeN2rb1FrwvfjYIjOOK25HZeZ9XJDnBj2b42BDdBxE6GwK0aVz8af3kM4UQn6oks
okHgne4dm3tNV/TKgt4jCa8shcX7jPnu+Cnq9BKkOoB1t/SGR6tPjGcUjWY+w/qRrfzAMncjzJ2b
ps8nZAgmLX6mhypucjytoY9l3Ss6/xOfpHCuZtP07NXB9GqFw0OllKvMD3eKpAClGpah3oTlrBS9
z4mhteM6RiCAo6AZ93E+FAuzcUn1GtIccnzY++GqThvWK2WX4luLy3thh8k2cbU7A//DplBYHAcy
X9MkEgVyQW3dOEGRbhulce+g4VtHRs/qItWlwkhvzPzWq1UqSJe4nxSOqR2p5cR1DumJ8bayqJpu
WHeKUg8kGZZlsxi8sGAektfbsfAySAuOpJ7SevnYCpCT2NHdgGtqbxOBeKjxXz1qHmTQfgJRXsdT
/ji1g3LFh5c8GRsReORX3oMzpf1dxgpu2eZDeKOEQ3EOOoAvGbpXEkSF6Ah3rSHxdYgVG/yYZr3w
6TLRmLJ/RuCMu8FiZZDA8R5643q0Koc2Kbe0V/LGplUZqkCgsE4Ae3fM/5m7y/+9Wmz8Ei8n91GH
5+b1Z1Pd94Q56qqjCQBz9pvbgT/6dnth4AsUBfGf7Rown99rmu0PSDgQAdK3cYPhiv57MTbsD4yC
GZSZ/6apLrHKDpBPghtt/UdFc932bZlaY39S83Pli+UItOvdAXX+47SV7/SHAR+abOB6SJfI4jDF
D1dokAix0dpte6pFtAtt3D8n17yuxUbzzjiAa23569fjDPkXryi/o3fTV52kgBDlcnuKgJrNnNFv
3Bkx57qUleT1dV/lzq5rSK2xYuhUtbWyIhglFDrPBL/V2BCnM+tpYEi9tQzUPmNZiAUSA5hPToAE
DUyLg6qpqFR4Y/EXd1AesolptKYL4MgAyHimJb4MToWBxYpQBQWIGWV9I2JrjTgyXJncauFjIvLx
xiEjGi5El1HBV2BbVYGApgb0ZCa34cXpOix0Bnm/YbdXSo93Cdlf6gEuw3G6QFcyG63+2iOKauaR
5JTn2rkDT4WUfpupqE/iyL/KQcSh1rmrAGjMuuypm4zzYAebzp7qpdbU67CBO1I4u4A71iywuN0o
RUXTH4yHvLWnG7tBdI5CCJX1TQ6Lgm4bgQABipvSCpTmenqb1bZphUQzYQTZgK06wp9BJV43E4I3
o4RX7+wt9oqKSPcEUGyHmB2j6x0VNT4iSbkH7EyLioJ5RuuyqvTwRZjqZ3JyzWVvisNQCDpyY9HF
xb7x+mXbjltENWcVEmDmlYi7xz387n3rVPmimVIVYUB/VXfqfUnwmBCEjKTZdGcmjFERl8XHsM3O
WdwQusSqbIp3ao6GdCiQQMQN18BywKAGXha/JrbROrLv2KQSQaGo/kpPi3bbtn0DHUKHOBSW4554
ZHNV4z9L0s80GycROJe6rTT0ccShBUG10op05yXhuc2Um74DjkZ6wAwF4JJc7ZmdNp/tgC2iZkXX
OtcFt01bsGzagtw2BsDjNXHDyL5ZWVi9WPdVt1JZ/TUWREdNXeR5fkOg9jn1yhKzKJSMJom7yzAG
FzxK2wpkm1M4D5AAyEA0q9tCxVQahdWXDM4iliTQF/i4J4bbgtgqWHmvau9fZfiMS0FaIBVsq+PX
nTMIWFpKj67QPwdhdxBmRGxSuh5UE60UwZaDd1XX+aYyiSHgjo+W8Ej03EInH0E1rOuRdBLiVziN
DOGtAJZ/FFUNWFJJwekQ3IIedtzEPYFlVQLOG00Vm1FlF9fTLQp70PBJg4wnv4k6ID4RmaEtHPN5
6+jPbhs9o9I45GVC5jpitXlPTjgYGwYmptc5m7cy8+8e2P3fO/Rk3/+LCwiZd89/mzO0e/7JHYQv
fXcHweurYbxhLPbGQX1/7BGxhBbdMJFASIH777J4+wPmH0vuLMUbfoyR7rehnfUB4YahuxbQi6+J
xd9Gl78dQkw9/3R0DKT1u0OC48ghkICLEDZEWB7AEb4/JGzN1xDfmflJd/DcQ2RAd9GPI1koOKD1
wde26JxWiTFuszTDiONmwWNKIk9KcoZDoAf24KONtyMyldOkwOYRSE+RCeX7RMb78Gh9HMn7cVxi
hJ1akvuVZtmN8a1VecQdNhPNq0/XnEf29YAyDCftFBXqMnEsFVWl2atoEtUjiXndAqx6tw4I8pzH
jOxmmdog+NZcoDfoyjV/XGiOv5w8ho8MJ0lFtvp0oXjiOIxky40jhCBoeuYiGJph0XXqXac1CxvW
ZK839aJxRSyzGaqZWZkvFj8nKaT8vaUr81k7QgDUoWcTmEUvLukLy9EjsLZFc41iNdhSc7xtUlAZ
1HRY5hlTLPTqyZVpKv3eC1FxQCrM5qKK7pA6wOpOMOJzhJ3IL8BvDcaon0hMsdrbKiwhRsTlnWX7
p6LUCK4x+r0YAE5iIG7JrMraRaYkUsmllnNUccjiyvZQFLAH4jFPVlOnQPI3d2amf0yjjkG93GD2
7M6mXtvYBlF9Yxx+7jTj4GfTEQUzalwmxOB4qoekISWpRS8MsXvfBg4uAxWyt08OrzKho8hj9p91
HhmzoomQsOrWllnMdeyNcBf6uofd4C9LkTorsn9fSh0Zn67WRx0kiSgVRnspiYDhibbkyiD8d56K
Gn08nxkuw+cytJqZE/OrUZF/LoULCz/z53XUrsvSONhmwDrNzZV5iYEbPUq2gBOwriKFXVFeHyY0
RLx7ROe1jnXRLf3gFkm+rMZumItU2HM9zoqZgUx6loiGpVKs2kgEvWXNJnMgTXDVRdnBF97TWHbj
KlGctV8bFlcv9aMoERlhCFhoWEHGsrEYR/rXsL322pAuJn84Mpr9TMYvmV9dze+wtrbMoJDCW+a+
aetTmNelwpjJTqZXrtTxxk5TtDbFR+hpJTQ6ggQJDjxkbVzsosZ9zGP10pjVZ6cYUQjB8J78Ff0Y
2Uv9zm2UVaXqV3kSHMM83w0RiskcqWUWxwtSMwlx8Np+a3nml8lSWjqxnqThsPVs7kZZN93o1nTw
SzobLQl7btp0O71h8bpiXSTEk8l+aKQx6mmQKvOxlv1S2rp3GSc1iaFXlRwJpo257WmxfMaA7aRv
PCANaMfba4od2GMG20QGzpQQrrhHw2bUzR67Y46KvSEpPLwA/JEhKTcT3F2oVHR9gez/9IoMQZHa
2dr1NRog2ScaNIzwyf1NKXtIXXaTuewrlZZPTlZouP5k15nSfjq0obbIvuS0pansT+HDf5zQjJka
89RB9rCm7GbVyrNndlR8cnDc7cl6PeBJoEyo6jnNAcq0dqmd4GC9MjQYlurUv7Y1/OjUGi7A/4qt
kXVPWp6uSqE+jKF9AG+8cmvUCSkd89wRtYC+5d9nmNwQJnGGO+O68/KFWlRnN0yuVOTDyEs74ua8
Y2TDegmteJMTbrpDo3bnkMHOK4PKcMWtppr6OjCZFEylVpBnFg3LUtEPA4/B2c7dCw3pZkhESPBZ
B9gNV5GOWB0drIHD2W4W/Kzon+NazN0QhFEJQrcZ8YBYSbLESPjFd1/Cwr7UjXGJ+Z1wDmhz3c8S
uifnzCR8pQYQjb0uFrPCsyFlT/h6+i5aB2UJzCRKuFk0JGry1zkOPFfT9HeJ6R8DMqnw94XdlVC0
bMkbOm5MfbjIrGgtLYKFT149lKBs4w6lw2Nb+Vvi7ueegp3PuAqQL+KFtJ9IYAu3lGNwLMRN+2JY
KUF5o4dgrTGYzBnEtMuBOJeZ69cvsU6uqYKAtTJtRK9lSbg5UWm6Xty05rDHvR4RCVKuW5wdZlwc
+7xItoXWn/xmuKhjvlQ8Y1xhf73KS3ejaEp/G0xju+pb/TV2W6Ztto3ZxgYeLLPm/tNPvcnDxC/3
nwwRZD+FPPAn7RRf+a6dMjGcmsi/6IDeXHzvpggGiDAHZzIEBMvmq76pWm0EZVDKXNemx/k67X3X
TtEEAVGUEtQ3hP0P7dOv2im23X9sp5CmARKlp7Plt/J9O8UKMydYwpGbyDAHhmBVsNNJEUpYJIaV
ASI84ipU6wT7JKyiyPlttqWpfek4GGe4E/tdjyYWVz/Al0ZtN34OlYjfB/FI3LvzrCX5EExLZEef
eg+3lYYalZssoTwJlPOlnZoOqdCjew7K9M6s8L0AXWFFFU/7MR7vfL+B4Rzee5FxyzGcnWyZioj5
oQcZRQqFOmjhLiU80RMAOWPXveY0ZurIJx+Nfrvyicm4zXgqmPJcRcUwrtQhWzIVvNConAb5IIGS
OXY8Wb4o16Z81DqeuZRJcSAfwmrMD7V8LP3GWMeqG0Cxr19G+egCme2WtnycDZ5rPyxviOBZMaQ1
IU7Ad6uqcNtRCzQtsLna9cfOl3TMyd96b7VjALcqq8kQA9xPKhlONV28t4oja48tq1ASgsJKKUwE
2u5cWamATC0nSlcka1goqxklad3L+lbKSqfImqfJ6tcSntFSDg1ZFw0KJDA6BGqUzIjSmdef/5u9
8+ptY9my8F85mPcWOoeHGWCYlZOD5JcGLcmdc+5fP19Rko8C7Tu+FDAc4PA+XBzJKpLVVTuuvZaK
IbVYrhGWNRA21leqtd+kOipT2F8dQxwKi6wJ26xB3sB4OuAnYbcZAVnZGHLQXwwxJQpscth4WVj7
QNh9ymDqEk6IT7rwCVHrzGycRC68BbEQGgT4DxNHIguPgrrzwsXFVFl9QatqVsfQN+KCMuGLFCP4
6gjvlAo/5QqP5eC6RlzYUAw3Ki6NEOGbLnxcorVXBDMk47g/3rmf9zjEVnhG5MHoiirDRSi8pov7
dIQfbbXyuyI8a10q6mEgCkg+JHPzwmIafT6kFeoL48IQBacybPMzr5Wso1yUo/pNZcraVKm0HMwZ
miEEP3Z31BraxHYt6Lj6lZj+HgwNuTC3vHV0pBD1IaWelPMW8LnmDcrD3VAxeMoW2wwqSIk/ftby
jHlfdeimWm5d24V5XCvDQ+wX0UyJjKvY9b1jc2yhQGppE3czxaEJEZmMTKSVfx+OuXNYZ9Y9YCFk
W2jnQnngVEhUVpd1kbHF5alLVWdmlV3OgBxBLWLNTJbqc2YjdU64jeprP/AXPcrkUGAOi1BxYddz
L+JyaGAtr+Xz1m+Qcm7AVbljfFyoqTwfZbOAqIlBIqVFmS096kKV6X1XvQ3hZp2YkMmf+Lokn2pA
Fx9k2Y0+ZbKer+LWHpi4jX1YOP/xTo/eieLpb7L94KHcmujzVz89k1BQgbUD5WRDpdVNDeCnZ0Lo
kJF4NJxQRCFzf5HoOweQddj0AJ8akSz47JkQV3EUatIWNVBV/8P59y1qhjpiitSecUyIsgBdfu2Z
Rs1PfDULaCUyL0zlbwznpvIt8+7h0BkNMsTSTE8CuxU8Pg5jRTk/L5HpYFrwvEHFyLS9q7hpvsGr
OIUAuV9WkX+TlsYSZqArLbVPc4fsq7JuARox9dNDYWNFx7VhVeBEqYKpHvPXffoJHCtCyY4MDAMc
xkwO8ltmL2FOU48NBqsRuViPYq4vHG9UXSqmSV9DLEns2IfWNGLCtaJSPwnT8UbxrFWHftFUj2pR
xr1F/PXzaGcnTljcQFOQoKGm/pDgMCvK5kuEkjGUPcaidKTFaI0XjJFZEFLnS8bomylEiWR0tTnR
XPjrLLc7rANSFQnKMQ8yaqsg46papDIS+0vRQTOaI2p7yCi5AhpAPw7lGNm7TloxF46/QFcGIo9h
men9ocpweJebV13eXCFRX36OjWEd57gHE9k4z5e/yolxTD+XGQ65PwWBAkLGs6S5EaYrpo5DFJma
Y4YGDxntyOhw0nNU7is4iT23+TxQIkGbinYjrJ7fIhmdjJhUObb0B83CFziG8nlDmtLJOrPNFBvr
yvOYC25NvP2wCqthadvdPKdP3FTsmefF+qwbvNCEyQAqlPKs7ms0x1wrzJa1Qap4DPppoEmdy/Vh
ZlNyqS2H2otaM2dXZHIJC+OGAb2qBBt63BYdJQJDrWFck+FL7zfc6TQeyxmujxSAHAISPMRSmgLv
APV6KjjYKdyoM41xNwJ3GNq1Tp51Y3VnCu52Jyp+iCAMIk6SccHvbgmmd8+IrqwRSgFLs84kX7Wn
tZqzhgxDguTfxL1+mwrm+LZvr/EUMLMLVnm9MO5DaOYhAHwYa0qlLQT0nqlzFKCklwU3fVSpx6Vg
q0emRJsz+IIcj2Cyd6KV7pe3dmTUC/SS47kB7f1Qk/PkugmqyOruqYRTzY1BqgwJLKCpYM6XBYd+
7ElnHj30WQq5ftqH9zp8+wa8+yoVD+K1YzNNl2GWX7YaTLMwXH7OdQa6Tbj7Y+gwmfkhxpLNr66Y
TDL4ia10X72xuAzg/x90qTrpqtvUMCqkUaTsGB6eMZixFJAZK5pJtCtwIBBsSn6FblsP/qjjiYd+
cYWKp3cY+Qwjm+nZWOZHfZr/gIoMVWK9ZR6hGKLy7h+/8uhXqNz+xq9khEnbCsj81U+/oh5A2YTh
xq+gI/hmGsbgDNqQsz3Txz1nPPYBXghuXMrHorKrvyggo5KLQ2EtTCAoTVAnf5DxwCn6KuPZTJE4
gh8aJLqt2ZYqQC4vuoxU1OI8kkP5XNUM1NoNBkrpjpjNXRk281YHsyAnbrRivgLiRsX54tYtsi1w
AlMksL7XSXxtJZ1DkVCdNXUtU98MvjeSfFi1xQny9R6DDWjbA0FEOaWtF5GmfOus3ltWalcdJ0Vx
WLRACMbgXKulw8R3TitEB5WyohvihhTWBngqrcpepQH5OiAPC7GGujMzMHLjRWQ2kGAE3RWDFrdw
cErcvPRyiGCoyHLpk+RTS3TbEFx9EADOMxmAvYmD4VvngSgNjfCqKkN5UhbVFOm/40QuSM2QSh2y
TD2Vc/3cp6Q3kRUGCmmztmlzbFfufe50xwEQbRUC4ku9hwvBS93TTofSg/zqllhujtVQ1uRKQm/X
no1V+SVQ5XsPzmlciVZMqdt87i3pHp4IvghKsFFknw6x588VvoMrR6fBmK+rMKsWrQtnSofjmfpq
YSxTKETc3ofLzk4+A904p/X9LTFrfJ2lnvR2saz1KJs4SYLML4ONNgJSuJzzSKWGDtJx1XSKjBC5
8yU04WDpjFN0g5dybbfTyg4v04S2WZv2J3Y1YoBseQ51yk3go6gElgb/gMhUUYFGAhV8Y4zdMdrH
8GtUyY/MLk9VRfNQ5CE983EMaW3O4Uiup0qtrioXe1cV3ic1LlGvpMIDR6dz1JlgA2HQuk8969pz
hyXqF/2cAt7RkKmbZu8D7ILCktHdrr/ys1WakYfqrU0JUQ2qiR/WF7BbxydOn3wyTzJF0O5Y8G4S
pwHlc/2Z1VQ/CEtWoVUuzRb6UCZrvAX/8FRpinmeNVDFRm07aaXqWmnLJbyBt/qgUL6E3Cq3Dai/
wbvWWQbbWZowxOQPi6KKFno9xtMR/q3Bh1JER36A+KYkjorBNyYuE6mDtlS97Dgy9EXs0BONUJPV
o+4o9Otw6pfDWcnsJO3P45o6AswrgTXcNeipffXTWrCBOYmNw0itK1WIWngTGxjipUygdoUAAG5D
6YNFrcmLSPLRXVHdH5HXP7iGIyMKAlO6XFhHVtp/qczyex2Brsqz7NLynKXkR5eQwBzaNoKXmunM
8h5aMs2CuiKWy4Vt1GeKFut8uZzMj1xI68NVVvf6HI6UDtoKa5yGbUXAg/IReNaFZg5rgKSzou+/
oZY0l53hMw/an9ihBNRXOkkLf+lHEDHREjDR6/PCeAanzSpMhkVko+nRAwSAywglvvqrUpQz3xi8
mZr0izYBAaQFIJGCgqpnBJtAby07euxJnvBAvtRoWg59A/cMkUHSHDIKhuh1as2GpJr5gXOThCEt
j9I/aSG9owIbOIs+MZsJ8h0rMFRnRDl3Fb1ouYZ9sbfQeNCdmZYPp2g/H0LuyFySinqH2nU8WwN0
AgNvVXnXlO05yfOsCvVPcuBBYDyUJ2NkAawl3NUjbqEM13uB8MkCQeBro3EfChiHgMcD4wJvPq2s
dkUQ3E+lAoCBllww898iSxVMwoA6kI3kqK83p52VHvdSCs1shDKQZ9/GGio0pr2iMkFBRl46VnPB
vO9XWc0PXWqrkPNZ8yiMsX99KkGpkF1pjVNPg7E812WCRy9cCUh9HrRnrjl+ghR6Uqj1pas2R2XR
TsyCeL8nJhxHiGDMcq5JyiHE0e0MXPqIFdYWjlEfA4hb2AD7pg7ZapHLgoMKbgu1+aYFcPOALNQO
FThDFGTHc8+7VEb7xLER3BtH6MTNsTuSzQgVZYoAUe6ROkiBc6h5RoOOS3+hxdIiiocL1bF/oA4C
bXg+qyDlrkpbgvgaMr+O+e+hzi9qy/7MtII/TQyjmfaJ4aCMq8Y3EfJKMy9vf4RVc+z38pe4SYlk
sxPfAVfQlMEVXQ/Y5csfhjeAw1DyM7/vF0U4fo4UdZwYbfQFCzyvUuOylFzA5bJzK5nl177oj5lj
RIGgSSxKEsSpin+sRt7U74FaAjjQa9GG04dDt6AUAcqgGPQVciLRlzZGqHamwN6/kMa6m9q9PY/l
4FA1INHLuwSkc+bf663WzGDzgtYKYixnHM+VMtHmhAsAyVVlAaF4OHE11AprwOhOHZ3CkIK5BIQz
o4j2NQvViwzxP3AS6JJnSOv51R0pLjVJ0Z4YziuTKXAV+1VaML+mRvq5H6QveZ99igPC3y7VZnlM
98sGUtVGTK7row0wI6dj2ITNZQnV/dyggLbSUxmZbJqjKHQrWus/Tlv/ssGtvp5corTLCDGQMtU0
EGgG2vWmIAsLo6IPMAeeK9fJ5MZYtBfFlC7O1Fl/uqpOs6Ngnk3rVXACfH/mr7KFfwSgPDz1l/8E
uI8BLsWM3wS4hGwP5ZaSPn/1M8AFpa3oCuGhJlglxBDxi8KJQ8TpMJoEilsVsedzgCukZwmGoa+g
CbCZ6f5ZOLEPLPDUzNEyIS7GxP8owH0/1gSdqq7CaUgNRiYkfTvW1KoQixeSM5xTwqkWshSn84oe
UjSJNNstSNzD3pgUrSERPLppftp1zTUZ/dKwI7A/JYW6wJeNkz7tiwlcpoAGKv1IZ459Gg9atVCV
2jkDaZat+rbIL1UdzIGp1xLkgJ6BvE924yDJOpUM+S6l10gterxMAgY+3S6LZ1LeUoz2rHPYzNpp
mrWCGN+KpkHWUUOxPfqYFGER1VEvIw0umjYBAZUA8JNL31hJFkMjcK9XhwrobRvV6NSYBnl0xXzX
QxcV1xlVgTzpaGLIpnQYwnjPqE9M1FI7+bncEMOq6pWD1564hEPgPruZrjazSvT33M45ZdR5Umhq
POm99lKOxi9Jk3+mPHPMFNI3oFfLME/4sGOnTlM7PNENgXcnphxz+3500LhFF62Y2mp7PFhZNgXc
V0ylpk7A5iGXpbp3EQBzIM7ZwsXQWlJxCkblJgzoh1haDsGRn5Tzzhi+j4F6RlWG/4B/PvC9mCRc
K+yLSrMp06BIhYvxhaaujCJaAXLOVsp5mWdL1eoXMgB1Va6PG+GJy/FhtIGtG1Z7nPYGYpSlZQNK
Bv+QNoyO6QmE0gy35VCnEqx0qv41b+LTRqJgUOj5vO1Vg6mTB9cy57Qk66nqeoLO40djednMiox0
VusjvSO5jmkqM3BdDoj+mkirgvBATWVc2wWyfgrCM1M/zsxpCT+c0OA4bGHAD8PsspETGHXNvIO/
jSZzAYNAUk59LV02ignLrve1TnNnUicVUrd1PGslKPJt+PAndkVhPog8cDEDvGRWnGIfk4ohcI94
NCicLzCzXqDbXkAjZx67nU0Rp6j6GYWhNRR0Hlq72drqUUeAvCBgis+FR6sm8kWjMJrnng5sQG1k
ciJoIHud8XI0n64tl6ksRPfUlZokpzU8hdMmRYPX7UeJ1M8CWqLrx3i+S1Pxb1NLcyEcTOy5UZkn
iamu4DCvURhwzvsUtqpYUhlA95VD2QNfZ+bQoRidi8ZU3J9nEJEjWFBSAIvu8ERfw0T7ng/dRagj
daN4yQNG6qxUCcfKzj6DPFKeM3QPFrVK2xNnqC60XLsPRSWmyn2IJYfvXeic9Wp6HUASSggxIolL
GltJhkcgHEKE6THJUbvmbZUVIBohUCeefAjHtlgNqrscG9DrAP/MSaWL4M4TgsAeqB8viOdSHn1N
u+wrBOPDxGz1NSxN31KTjEOpMxTaMngpafKfNpn9JSylY8Vrj2wnkSntGXPTR6oXeT00VRq6cFCe
MgtxC0cN0xbZSVYimtpZVTfxPeumHtV6Enmas2pzOMOrBIqFjvblBFSLfq5GmS3NCoRG7v9xixu3
aFBe/7Vb/PTgr7fVfcRfvXCLGn7HAAaID9tQnfx0i0KUy5RV0WGmqyAIQp7cotAfNegZ2Gh1WRtG
3Zf9BMZM4AxnuMnij/5MG8BQqCC9wLMTWAHlh6eC9wI4T7uXdvvLug8S6poc8zHOW8ePqlmoaZ89
Q16FaSodNbEHnFofp4ZQ8XDb5rDvBoX+tgp/Zusc1UZkTnPaJQsvHD7ZUgYYI+Q4pgpDsJBXzsMm
v/PUniM71kBpGeTMGmmmSc2XCpqxqwESxqVZmi7trwEAWm/R/FS1aW615SmOvIEqT/UXvaV8r9H7
lBkGXeVdyr0OFXqtQhcz6BvYY/tLpEDMy4IaKhC3DjqJGErSkhEnpvVEE5thx8ngYCzhCpjbfbQI
vUZaKaHlzkOh82g3wb2Sqj0+T0hb12nYEqeTQAKKQvFZi0gl3VQ5d9Uwo42e8jPfSVeWEiuTnLcf
hcpgCW847wL0cBQahMAEECvROor4QCSRKeyRK6xLfFqdqutaKBmaHhc/q1sDaZHwKjMqJhOz41aS
SehMDVK9hFs++gpdHWQS7YaiRblRTrQlQWp37SCpiGqafWgU40XZRcOMLP4r8La7DBnGgogaYl//
CL6SCzjVP3ktio0dYUCLhGOZ64cyko4G1E4zqK7MKSSqFrix7Cbs4iMTIcg+RBFyQBqyFxqRTc0I
MaKRRuo85EJFUtEp34RCWTI12RbkDkHlCenJIOioDAk5ShVdSht9ShB6CfIRJJiIOvRzSchYJkLQ
cqyqrwwO39om4lvw180jD4bKwQuAbaKHmVGbXyRCIpPBT29WoZqZ8ejjjSJT0EL3Bak7EHJg9VNP
by5yIeEkCzEnArY7Pa9vWth0EVtnelxT7nMhAOULKajUVcngEYfyUqtdmEIwaiwqhEo5rsuGwdGJ
vFGWCoTIVK5rh5KQnfLsJJxqdsZFQJNqQJtKj6rvmkByO24H7WZYwQtoonWbouZSyUMy5e7n01wI
XqExjY6iCzYeHTkEh7gjbp/F5GVIZblKMWVUS5tA3rz0Wmoxvt2fa+hrqehskb+fm5F9KJEwN+oh
iEO3O3VYs9Lr67xAqsscLPy5+dVyknN4WXEJWjjMXPS9IgUYptD7SusbSwiAZT1+MwtzZ15BxjjN
YKaf1CGwgig/VVWkKOEXrbzmMCq8k5riCrSm1TRQScHRHtMbaFMtumyTsu/Pk1gdj2w5vvWRLjNM
pvVMubMOw8I6UZ3kLEDmLBZ6ZyCGoW+NolE0uwNaReiiIY4WHDZIpalIpgEiu42FhppNpRDGYfez
bhlfm7I6V4Xemh9lzqwP0WAzfLThS6HLhrsDf9vUS0+nxgl3BvUTZNw60/06Cl23IkdfcGTmexSa
b5TJemKUeJYjCeeO5UMhNOLIfAUyWF3JQj/OF0pyDts6bRGXUxGZqzuqbZrQnaN4rM+itjRXEaJ0
8Doc64jUBb7PjIXQrYsRsJMRshtN7ZOLnNy0dNG4Q7JZovumXMHix+AcFDmell6qQhmPKgjNmGZZ
C828IrVdWJrbyxLMp4usXutXtKyEzh5TLFBGwzZuJZcxUny9FUhHPuJ8gVDpYzD9yES2r/XQEwb0
bUzDgrjeTLtoHgudv1H2T0eh/GcQjcFkGv/wRvcTYg1AJBXB0yYUA3s/vC9zShYZc6myjaogTWhC
eROlwc6DQrVGfNDqQE2MxXg5AGSeI28PTJl57Z4JikZIFyJh6DhJu9Dz8gj0FmG04ns0h5NhqVHe
ncYmAyVMqtwk9J6gNloTbwbLXigm2gxOEQx9VpFSHC3GQhi+nOutvigRW2wz+xiOAjqcbr0aOUQM
H5oB8pHyEgrxuxHJRsPDZveIOJq02AqlfKAscVoj8jgiBmcF3M5qgOpGU24zO4V2l85wD1wYsMfK
QjBS9pC2bjkEMvZIKEoygmnP6CDE036wPjG2dDrqxkNUYygDzcxQn4eHQSbHqcfgVAG1Mekr57x0
UJNS9Y76Egw+dszklCWEmFoVjgoqvsyQUFND8XgpD94a31nOs8BvkGIGqyjTazm3baDKzKWqy7Iq
b4JIuTaQGob32PmsWPUtAqvAbbALTPFzNGIrV7AgcO2q9nfa3f2ydEpKsNl3WGDBp9jZfQUGBdZV
YCeoW49naRQaMzcvLvB5NCr4XZf7x7VD/ZAGMRUsKZs7SXPvmhFiNFZxr/npeRg6FUBOl6IrhIBK
TsVU9wZ/4WROO/P6GmnlsAEBV2PBXNs48y2ZW5YHqFICncsabzVAaTW3sJMQAkCdk14P2egvAyn8
Fln5nUHcDKghWULOtSSO4Bm47bUCNSvwcCrXo2Qd5rWPK05B9tMQtxgWQM7DlJTqnFGCmTckPyI5
yqZ2AnbNYuYHwu8TWQuoDtX5D+i5AcTpzm0HU9pcKhKAp6kJ66RhUI6UbuSicS9LOz3FmleOe6rT
B/ED3ZCmMbj5Q7mOnOIsi+OM2noZyDTdoZhuR7TInMJ/JKf6ZwrHILb9dRz9BZKdZhswR/zZcyCt
2AhJCMQLURRsgoIz8DmQVgRtDggIMDGOUOB6AczRDxwZ9Qkm/Z1Nn5TSEw2f2v/P/0BkS1V0FTUL
TcyfCgzqHzRQ3wFGHQs2H0XAgxQaKzof4WUY3cuopJRlCmmO4IchUwQsg5hp8gjc+mUdlNHYt/E6
4FfkxHRFI3NQKby8fiMFfGhhhnoOSb7hfI78gsAtQU1+XBHiU8bQ6rTRDytu/jWgbQRtTEX/GtrI
WORZCOscsrbHiiWGza3S6C989Au0IUMwwhw8FMrbKKy0b21fmDaAuKJtgbiR9rc6itlmJMVQbMXM
uAZ5nqnzrIsbYIqSh1xPULkpJmtw5qJ1LM+q9M6I9e7MQojjHIktlFqVnEL+InN7bRqDT5LiKuuw
tV2mncutYkQnbRyel3XU0dKBidR3LjRFfjCq/D6Fn5u59k8WyXbaaUtDMinpoLcKSBaZedAwTjI3
+uTQHYZipkUJJYtSmcVD8cNHP5xxzjNFzX80WnsdUxyYw08d3loRgEyHiZhTycpL5j4M8ygOHJo7
CVjSUYVKTJK0H3pYgUx0fYSO6iKfJ62LZE0sGfAJCM4856xKGZfBBmMNkRFY1qn1eVCkm1ilN56F
Pl3KuvZUMEpMz3Is4D6neBnMbV0sASZficzyc6nXKJKZdupfVYAp541F4crpZShRaVSziyp1gipq
ypkulei1gokt4GU98iVFOXtx97ZMOKtcstcpIfklxBlkBRBOATEQUIEXUIBiKAvPY+r4DC7uNc5N
uWZidkJvhwp7unKVCWCfOZwU83IOmfmRvtDmTI1M/yUfmhilfkEjp3PVLaEbYxqC8wr+4Nefw+gZ
8/QqPztD5eBoiCF+jbzCpTuio4ppRc68aF0xWWsyxOLa8qlnle6RwjMyowJpYWs4cyDundjq+K3u
M2dRqYyA1XW+cO3xm2W4kBC64JLcsf9axLnFxEoxTK2KcSiiA1QtfeI1w+/nqEwvOwXYgzvCpw9X
6Gg4q1Ej11PVpQ4L5ASRLKFjRMs8SVchWsWZBtQ5k/N513knKrBaOpFgmlt6ekkSMqXWFmcdEcuy
8ERTUvM+e1SO0Yk8bXpbpgWcL+WIg2Y5BUK1cnj9+0f82ohsEPTwizHGrsPAamrOGyPijHBh5Ilb
nsktNJIYAkYGSxiGpcCfGxnIN73w1r9/yw2A5NXTBF7y8j3fPE2ph2akRYnvrPC0WwiEgcNRKB0r
a6UnDWOuLiVvk6K5BYzMiCuKfXo6nIxlQ/dYMk6ywL6RA+g/ADL/gLJnAR3lqZqZl7I73hle8S3p
gmJWoEP2/4bo9yls2Epl93OcQfx2wwz7KZu/JcP7X/2jZ6e3faE/48bjmb7y8psPtmHn++068Rr+
veYe9j0N9SldMcifKHCJF+WoOINA5fHXEr2iA4OSmE05bfNeL/boV7vw+y/4njbw/Tq//fDELpAH
/k0QKL8tGf75JhDpOCCJQRkzS84Lw/hqE4h3sIwMwViPYdX/8Sa87AsaMBf+G4eAL/j3GWDMR1Ql
HYidNi/8z9uvD580gRZjzpvXvp4EPviO18EWoEECPZsH/WoPVJkjsMF/P27S41v9Hx8ELuvr2yDO
7857YKGHqdsUp9EsEC+c2eutgGfcoogueLfY7n3bAwKpx1v6GOT/NLN/ZBbNAyQN+JI612vzerMH
WAST32Ee2Z293ARhyXe8DGR5wAt0WhaPe/DWLArfgOGAgWg/bwNRLIHWjpsA7BdSVqgjrF9sgnqg
aDoYY4Xt2cuToD0e0V2ug3WAOi4zOEA5Ni9igdcmQTmAzoic32HPee3redB2D5hg1rJlMNv07x5f
b7dCRUtcpjDxxP61h+Zx54CJdinUYopONeftt9cPKHDAqEx9Z/Pa0zsh7+4inAOVljBcMo9H/n3k
LAgxbfp/omS0l4ZBfgzpdzEMthCvVSn4/Sp9kA+YLGeb9Mebt3+34V2l9M/TB50xeZ60/CsXQbBA
GVWRTXlfXYQon+7oJ0kkqRZzFJ5yhC3BAhhFbIazrydB3tk56MoBXpK4UUQM4vUudOaoyLpG6Lyv
sbOxe9hI7Iy0PZHCr9NJwOO2DRvFvhrG3SMmwLRMLBvqUw4l0rLXERMuVND+M2651xHTk8naxUeg
pIBKAjWmJ8vwditEdcWmQ82B2NPz8PTBdtkE54B7D1cKA+SbF9fs9XlQD5CUUJhp31vz+BE+Qqgq
KjBOvv/2YNJh+n4yP/sXJii715ZUbrxKj4dIYPN6m0QpxgFsh9wTClDita9JlPIRLgIEJmeBaevH
15vzQO8ZY2GCP97XiEnZPXY2DjTwpAIQunnc4nm/MgnYRVF6IKza1xoTioA7ho0CeEvZHSzs4x6I
lOTVJlB3NcU8NljefXUOuwcLOjwnqqrRgX68DW9jZ64DfKdUpnEg4rW3luHxtu7iJ80D8kncgPWU
Vb+9FJwH2aTetmFc3cusWt19ExDZEKEh6hu/OA+U6A1Npr27tydh92CBmqOgbzDkpxD67aUQ7Pca
IAVLtOv28iQ85Te7XAc2wVYBU+m/yKW4DhqcBoot2v97uQlP1a8dNkFk1TBA2epzQ+ptAsFJgDcQ
jYC97VFrj/d0h00APQfUDtqSp2DhfbRgEU4wsAtZ9p6ehKcjusMmcBK4CEIoz3w0jO/yCPmALgX9
qqfwbP/yCCFQu2OlbUNyjoO0n2Kmty6SuJHJXwtkJMKC4rWv52H3SyHQK3xBy3pKqd5uBXJVJBmm
polK3F6ax6dC4A6XAkEXTYbVFabWzdN+h17BR4hhcIJHfa+jx3dMt39eiSd6tBiKl5/tw5aYAWwH
/bu9LUILcOiO9oFkAaTSz+Pwrggt2hFsAoivfbUM+s7JNXklYC1GQEGvb15b6m0aorBIF+1rvU0Q
Oux4EswDpJM2ePvHTXiXXCsHCESxTXsL5Xl6OruYR64DswIQZfyi7Eb0SLOaOoz9WNfav5hBKFTt
eBJoy9OhhMrlqfz89iSgkUyaIQMZ3lc/uXuVBbNnIomGOswvbwMzRLrAaO/rJjw+nd1uA4ZfFBee
Esq3BwFMF1VZStTqYzCxr+fhCU+w21aIfrQt7OPm9S54BMDBfJPBgNOengdBRryjYSBXQF+PPuVT
c45r9rb+SvGVlEtQ8vNee2gdd29H2AQLIMDh2Xk89O82QeSd4n+U68XrMXHZv614p7315xE0yQR1
ZrqUv0omlAPRusdK7u152Dl41NAKM7AN1KF/GsHXl4LzIKsyCLh9tQxCYGNHy8BQBAxeIjB6axKo
xzH1qwD021eTsPu3p1kLW4dBw/bNtydSUsgrCKWeDse+7sFjVXwXB2kQGKsmIREJ85PZe30N6M1R
jgT/va9RwjsF3n/HINJssrCIT4/7nW8gfYBhj4uyr7dB3z1K0AWmWbRafg3hMR1bE0PSjxZzTy+F
oHza0SwyFGHK9Fzsx1BgW8OaX7JZguKb196eit0TKvsAcmWT5PqpxvIul9gYUVPnAu3redjdSFrg
EyCGN8xfAbtIqKAcY37k8b32L2p8x7n2x0aSahugJRMQwy/sg6ixYB2YFXrsWezrpRCj97vZBzEa
AWCH0OHJEm7xFyKmwlL+wSb8Lw7Nz9njqR/E95vRZDimNkNvjyO3//IfPM/tvl/gxZThZt701b/8
NOQPj2s/ziKK//6v9T0qaLOgqsvgrlY3WeOL3z5nkZt3evr7p6/4/s1fvdnz93r+4QqFoXV55w+b
XwxPH/RsnTDb/N8x/3e/3j4j+fen+c//eP1hX5yA368Opc7D28WFzX/+mfhi/+7iyfo+K58XejHr
zJnZ+ZNPBLnw8zov1iaP3nnt6TpetzyS6nmtF+vjHnZfP4ub6t0jZdfxMB+weFqXqClmVb3tLUgq
dn6L2UP811lWbt1/csmd15/Hf82yksPzvNaL/ccS7bz+ooS3btviOLedF1/GD2n6vM6LD052sfPa
qyb5nsX39fNSfy8vpL13Xv4wyR/KYB0/L/Vi+Y+4sofpsGXTBRB3509+/FBu2XOBn9h96SD1thgC
MZ6989on62iLDRNA/Q9Yuqoetu3JR1zQk6z6679T7yF+2LYzH3FFT9f3GODnfXhxED/iip6uy2Db
1nzEFRVr59k26y5AMzs/1tOH9D67C7ZZLzG//gHrl3cP988L/b3vAuGx++IZn/15nRdrf8Q1PUVN
a8vSH3FLWRodg4dhy/IfcVPP1vmWgy56xjtv+NlDu34fOxrwRn/A4uflGhPwvNCLx/kRV/QiXt9t
044QRbqdt+UibpJtwZ3oRO28+FVA6FgF91t2RgAod17/en1XkhKk9Zbjrn3ELUWN+6/JQxpsfYOP
uKqPb1Cm6/J+qyETSIEP2Kb0r1nw4G3bpY+4teJLLLgBd0F1t+09PuL6ivc4ytZFs81bCUKMD9ml
kyao/jr/HlT5tu/xEZdZfI/Tdf2wbf2PuM+sj378ZF1+X2+LGUTp+CN2SmjUx9vf4WMutvgW07IZ
nz/u3zZVoAp3/wr+emtOKIBquy/+O5XkDdnZDpWE66CKgiFrnj/ni435kLucxett0YNojO6+Mb+T
+dx5Y+o1orHxuqmeP+mLrfmQq/s7DaddP/1vlTB2XpwYH4q99/siyqM7P9VPDZZgi4sXo78fsDgF
omRbXU4M4+y8/O+Jk3fd99ss3mLnRSt/5w9+23zfEikb//qWbivL/kQBvS/WPrM7bvuz17Vo8S/u
4od1+V//AwAA//8=</cx:binary>
              </cx:geoCache>
            </cx:geography>
          </cx:layoutPr>
          <cx:valueColors>
            <cx:minColor>
              <a:schemeClr val="accent1">
                <a:lumMod val="40000"/>
                <a:lumOff val="60000"/>
              </a:schemeClr>
            </cx:minColor>
            <cx:maxColor>
              <a:schemeClr val="accent1">
                <a:lumMod val="75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 Id="rId9" Type="http://schemas.microsoft.com/office/2014/relationships/chartEx" Target="../charts/chartEx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0</xdr:colOff>
      <xdr:row>37</xdr:row>
      <xdr:rowOff>170330</xdr:rowOff>
    </xdr:to>
    <xdr:sp macro="" textlink="">
      <xdr:nvSpPr>
        <xdr:cNvPr id="3" name="Rectangle 2">
          <a:extLst>
            <a:ext uri="{FF2B5EF4-FFF2-40B4-BE49-F238E27FC236}">
              <a16:creationId xmlns:a16="http://schemas.microsoft.com/office/drawing/2014/main" id="{0CF71489-D0B4-4A24-B5DC-FE6791949FB6}"/>
            </a:ext>
          </a:extLst>
        </xdr:cNvPr>
        <xdr:cNvSpPr/>
      </xdr:nvSpPr>
      <xdr:spPr>
        <a:xfrm>
          <a:off x="7620" y="0"/>
          <a:ext cx="13511156" cy="6804212"/>
        </a:xfrm>
        <a:prstGeom prst="rect">
          <a:avLst/>
        </a:prstGeom>
        <a:solidFill>
          <a:srgbClr val="F8FAFC"/>
        </a:solidFill>
        <a:effectLst>
          <a:outerShdw blurRad="50800" dist="38100" algn="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100">
              <a:solidFill>
                <a:schemeClr val="bg1">
                  <a:lumMod val="95000"/>
                </a:schemeClr>
              </a:solidFill>
            </a:rPr>
            <a:t> </a:t>
          </a:r>
        </a:p>
      </xdr:txBody>
    </xdr:sp>
    <xdr:clientData/>
  </xdr:twoCellAnchor>
  <xdr:twoCellAnchor>
    <xdr:from>
      <xdr:col>0</xdr:col>
      <xdr:colOff>0</xdr:colOff>
      <xdr:row>0</xdr:row>
      <xdr:rowOff>0</xdr:rowOff>
    </xdr:from>
    <xdr:to>
      <xdr:col>3</xdr:col>
      <xdr:colOff>107576</xdr:colOff>
      <xdr:row>37</xdr:row>
      <xdr:rowOff>161364</xdr:rowOff>
    </xdr:to>
    <xdr:sp macro="" textlink="">
      <xdr:nvSpPr>
        <xdr:cNvPr id="2" name="Rectangle 1">
          <a:extLst>
            <a:ext uri="{FF2B5EF4-FFF2-40B4-BE49-F238E27FC236}">
              <a16:creationId xmlns:a16="http://schemas.microsoft.com/office/drawing/2014/main" id="{685622E4-08D2-C1B3-8C7B-9EB97260768A}"/>
            </a:ext>
          </a:extLst>
        </xdr:cNvPr>
        <xdr:cNvSpPr/>
      </xdr:nvSpPr>
      <xdr:spPr>
        <a:xfrm>
          <a:off x="0" y="0"/>
          <a:ext cx="1434352" cy="6795246"/>
        </a:xfrm>
        <a:prstGeom prst="rect">
          <a:avLst/>
        </a:prstGeom>
        <a:solidFill>
          <a:srgbClr val="1E3A8A"/>
        </a:solidFill>
        <a:effectLst>
          <a:outerShdw blurRad="50800" dist="38100" algn="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12550</xdr:rowOff>
    </xdr:from>
    <xdr:to>
      <xdr:col>1</xdr:col>
      <xdr:colOff>762000</xdr:colOff>
      <xdr:row>4</xdr:row>
      <xdr:rowOff>10160</xdr:rowOff>
    </xdr:to>
    <xdr:sp macro="" textlink="pivot_backend!G4">
      <xdr:nvSpPr>
        <xdr:cNvPr id="6" name="TextBox 5">
          <a:extLst>
            <a:ext uri="{FF2B5EF4-FFF2-40B4-BE49-F238E27FC236}">
              <a16:creationId xmlns:a16="http://schemas.microsoft.com/office/drawing/2014/main" id="{BA9E4B69-EB21-29E7-AC9F-A55B0FD0981C}"/>
            </a:ext>
          </a:extLst>
        </xdr:cNvPr>
        <xdr:cNvSpPr txBox="1"/>
      </xdr:nvSpPr>
      <xdr:spPr>
        <a:xfrm>
          <a:off x="0" y="378310"/>
          <a:ext cx="914400" cy="36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3A484F-947E-455E-9FD2-D7A498089138}" type="TxLink">
            <a:rPr lang="en-US" sz="2000" b="1" i="0" u="none" strike="noStrike">
              <a:solidFill>
                <a:schemeClr val="bg1"/>
              </a:solidFill>
              <a:latin typeface="Segoe UI Bold" panose="020B0802040204020203" pitchFamily="34" charset="0"/>
              <a:cs typeface="Segoe UI Bold" panose="020B0802040204020203" pitchFamily="34" charset="0"/>
            </a:rPr>
            <a:pPr algn="ctr"/>
            <a:t>2,400</a:t>
          </a:fld>
          <a:endParaRPr lang="en-IN" sz="2000" b="1">
            <a:solidFill>
              <a:schemeClr val="bg1"/>
            </a:solidFill>
            <a:latin typeface="Segoe UI Bold" panose="020B0802040204020203" pitchFamily="34" charset="0"/>
            <a:cs typeface="Segoe UI Bold" panose="020B0802040204020203" pitchFamily="34" charset="0"/>
          </a:endParaRPr>
        </a:p>
      </xdr:txBody>
    </xdr:sp>
    <xdr:clientData/>
  </xdr:twoCellAnchor>
  <xdr:twoCellAnchor>
    <xdr:from>
      <xdr:col>0</xdr:col>
      <xdr:colOff>0</xdr:colOff>
      <xdr:row>5</xdr:row>
      <xdr:rowOff>72034</xdr:rowOff>
    </xdr:from>
    <xdr:to>
      <xdr:col>1</xdr:col>
      <xdr:colOff>843280</xdr:colOff>
      <xdr:row>7</xdr:row>
      <xdr:rowOff>53058</xdr:rowOff>
    </xdr:to>
    <xdr:sp macro="" textlink="pivot_backend!H4">
      <xdr:nvSpPr>
        <xdr:cNvPr id="8" name="TextBox 7">
          <a:extLst>
            <a:ext uri="{FF2B5EF4-FFF2-40B4-BE49-F238E27FC236}">
              <a16:creationId xmlns:a16="http://schemas.microsoft.com/office/drawing/2014/main" id="{56355949-E151-4D5A-90EF-7B01B3B18DFC}"/>
            </a:ext>
          </a:extLst>
        </xdr:cNvPr>
        <xdr:cNvSpPr txBox="1"/>
      </xdr:nvSpPr>
      <xdr:spPr>
        <a:xfrm>
          <a:off x="0" y="965738"/>
          <a:ext cx="993799" cy="338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FBA150-260E-49FB-AC41-F6C03BD0AD27}" type="TxLink">
            <a:rPr lang="en-US" sz="2000" b="1" i="0" u="none" strike="noStrike">
              <a:solidFill>
                <a:schemeClr val="bg1"/>
              </a:solidFill>
              <a:latin typeface="Segoe UI Bold" panose="020B0802040204020203" pitchFamily="34" charset="0"/>
              <a:ea typeface="+mn-ea"/>
              <a:cs typeface="Segoe UI Bold" panose="020B0802040204020203" pitchFamily="34" charset="0"/>
            </a:rPr>
            <a:pPr marL="0" indent="0" algn="ctr"/>
            <a:t>11,997</a:t>
          </a:fld>
          <a:endParaRPr lang="en-IN" sz="2000" b="1" i="0" u="none" strike="noStrike">
            <a:solidFill>
              <a:schemeClr val="bg1"/>
            </a:solidFill>
            <a:latin typeface="Segoe UI Bold" panose="020B0802040204020203" pitchFamily="34" charset="0"/>
            <a:ea typeface="+mn-ea"/>
            <a:cs typeface="Segoe UI Bold" panose="020B0802040204020203" pitchFamily="34" charset="0"/>
          </a:endParaRPr>
        </a:p>
      </xdr:txBody>
    </xdr:sp>
    <xdr:clientData/>
  </xdr:twoCellAnchor>
  <xdr:twoCellAnchor>
    <xdr:from>
      <xdr:col>0</xdr:col>
      <xdr:colOff>0</xdr:colOff>
      <xdr:row>8</xdr:row>
      <xdr:rowOff>149247</xdr:rowOff>
    </xdr:from>
    <xdr:to>
      <xdr:col>1</xdr:col>
      <xdr:colOff>1025407</xdr:colOff>
      <xdr:row>10</xdr:row>
      <xdr:rowOff>159926</xdr:rowOff>
    </xdr:to>
    <xdr:sp macro="" textlink="pivot_backend!I4">
      <xdr:nvSpPr>
        <xdr:cNvPr id="9" name="TextBox 8">
          <a:extLst>
            <a:ext uri="{FF2B5EF4-FFF2-40B4-BE49-F238E27FC236}">
              <a16:creationId xmlns:a16="http://schemas.microsoft.com/office/drawing/2014/main" id="{E8BD6AC6-7DAC-4EEB-BEFA-E3694B6BDDD3}"/>
            </a:ext>
          </a:extLst>
        </xdr:cNvPr>
        <xdr:cNvSpPr txBox="1"/>
      </xdr:nvSpPr>
      <xdr:spPr>
        <a:xfrm>
          <a:off x="0" y="1579173"/>
          <a:ext cx="1175926" cy="36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0DA04-CE6E-4CA2-801C-A186B1D18FFD}" type="TxLink">
            <a:rPr lang="en-US" sz="2000" b="1" i="0" u="none" strike="noStrike">
              <a:solidFill>
                <a:schemeClr val="bg1"/>
              </a:solidFill>
              <a:latin typeface="Segoe UI Bold" panose="020B0802040204020203" pitchFamily="34" charset="0"/>
              <a:ea typeface="+mn-ea"/>
              <a:cs typeface="Segoe UI Bold" panose="020B0802040204020203" pitchFamily="34" charset="0"/>
            </a:rPr>
            <a:pPr marL="0" indent="0" algn="ctr"/>
            <a:t>$649.0k</a:t>
          </a:fld>
          <a:endParaRPr lang="en-IN" sz="2000" b="1" i="0" u="none" strike="noStrike">
            <a:solidFill>
              <a:schemeClr val="bg1"/>
            </a:solidFill>
            <a:latin typeface="Segoe UI Bold" panose="020B0802040204020203" pitchFamily="34" charset="0"/>
            <a:ea typeface="+mn-ea"/>
            <a:cs typeface="Segoe UI Bold" panose="020B0802040204020203" pitchFamily="34" charset="0"/>
          </a:endParaRPr>
        </a:p>
      </xdr:txBody>
    </xdr:sp>
    <xdr:clientData/>
  </xdr:twoCellAnchor>
  <xdr:twoCellAnchor>
    <xdr:from>
      <xdr:col>0</xdr:col>
      <xdr:colOff>0</xdr:colOff>
      <xdr:row>12</xdr:row>
      <xdr:rowOff>86970</xdr:rowOff>
    </xdr:from>
    <xdr:to>
      <xdr:col>1</xdr:col>
      <xdr:colOff>477520</xdr:colOff>
      <xdr:row>13</xdr:row>
      <xdr:rowOff>170085</xdr:rowOff>
    </xdr:to>
    <xdr:sp macro="" textlink="pivot_backend!J4">
      <xdr:nvSpPr>
        <xdr:cNvPr id="10" name="TextBox 9">
          <a:extLst>
            <a:ext uri="{FF2B5EF4-FFF2-40B4-BE49-F238E27FC236}">
              <a16:creationId xmlns:a16="http://schemas.microsoft.com/office/drawing/2014/main" id="{12157385-CA9E-4A71-86FC-68902CB0AE6F}"/>
            </a:ext>
          </a:extLst>
        </xdr:cNvPr>
        <xdr:cNvSpPr txBox="1"/>
      </xdr:nvSpPr>
      <xdr:spPr>
        <a:xfrm>
          <a:off x="0" y="2231859"/>
          <a:ext cx="628039" cy="261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C2CA12-6BF4-4BA9-A6A3-71F5FB09C2E7}" type="TxLink">
            <a:rPr lang="en-US" sz="2000" b="1" i="0" u="none" strike="noStrike">
              <a:solidFill>
                <a:schemeClr val="bg1"/>
              </a:solidFill>
              <a:latin typeface="Segoe UI Bold" panose="020B0802040204020203" pitchFamily="34" charset="0"/>
              <a:ea typeface="+mn-ea"/>
              <a:cs typeface="Segoe UI Bold" panose="020B0802040204020203" pitchFamily="34" charset="0"/>
            </a:rPr>
            <a:pPr marL="0" indent="0" algn="ctr"/>
            <a:t>4.0</a:t>
          </a:fld>
          <a:endParaRPr lang="en-IN" sz="2000" b="1" i="0" u="none" strike="noStrike">
            <a:solidFill>
              <a:schemeClr val="bg1"/>
            </a:solidFill>
            <a:latin typeface="Segoe UI Bold" panose="020B0802040204020203" pitchFamily="34" charset="0"/>
            <a:ea typeface="+mn-ea"/>
            <a:cs typeface="Segoe UI Bold" panose="020B0802040204020203" pitchFamily="34" charset="0"/>
          </a:endParaRPr>
        </a:p>
      </xdr:txBody>
    </xdr:sp>
    <xdr:clientData/>
  </xdr:twoCellAnchor>
  <xdr:twoCellAnchor>
    <xdr:from>
      <xdr:col>0</xdr:col>
      <xdr:colOff>15981</xdr:colOff>
      <xdr:row>16</xdr:row>
      <xdr:rowOff>49277</xdr:rowOff>
    </xdr:from>
    <xdr:to>
      <xdr:col>1</xdr:col>
      <xdr:colOff>435081</xdr:colOff>
      <xdr:row>17</xdr:row>
      <xdr:rowOff>94997</xdr:rowOff>
    </xdr:to>
    <xdr:sp macro="" textlink="pivot_backend!K4">
      <xdr:nvSpPr>
        <xdr:cNvPr id="11" name="TextBox 10">
          <a:extLst>
            <a:ext uri="{FF2B5EF4-FFF2-40B4-BE49-F238E27FC236}">
              <a16:creationId xmlns:a16="http://schemas.microsoft.com/office/drawing/2014/main" id="{267CB9C3-3EFC-44A4-BFE2-83B171407EEE}"/>
            </a:ext>
          </a:extLst>
        </xdr:cNvPr>
        <xdr:cNvSpPr txBox="1"/>
      </xdr:nvSpPr>
      <xdr:spPr>
        <a:xfrm>
          <a:off x="15981" y="2909129"/>
          <a:ext cx="569619" cy="22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507069-FA94-4CEA-81FC-F0CD33B87EA1}" type="TxLink">
            <a:rPr lang="en-US" sz="2000" b="1" i="0" u="none" strike="noStrike">
              <a:solidFill>
                <a:schemeClr val="bg1"/>
              </a:solidFill>
              <a:latin typeface="Segoe UI Bold" panose="020B0802040204020203" pitchFamily="34" charset="0"/>
              <a:ea typeface="+mn-ea"/>
              <a:cs typeface="Segoe UI Bold" panose="020B0802040204020203" pitchFamily="34" charset="0"/>
            </a:rPr>
            <a:pPr marL="0" indent="0" algn="ctr"/>
            <a:t>2.3</a:t>
          </a:fld>
          <a:endParaRPr lang="en-IN" sz="2000" b="1" i="0" u="none" strike="noStrike">
            <a:solidFill>
              <a:schemeClr val="bg1"/>
            </a:solidFill>
            <a:latin typeface="Segoe UI Bold" panose="020B0802040204020203" pitchFamily="34" charset="0"/>
            <a:ea typeface="+mn-ea"/>
            <a:cs typeface="Segoe UI Bold" panose="020B0802040204020203" pitchFamily="34" charset="0"/>
          </a:endParaRPr>
        </a:p>
      </xdr:txBody>
    </xdr:sp>
    <xdr:clientData/>
  </xdr:twoCellAnchor>
  <xdr:twoCellAnchor>
    <xdr:from>
      <xdr:col>0</xdr:col>
      <xdr:colOff>0</xdr:colOff>
      <xdr:row>0</xdr:row>
      <xdr:rowOff>141044</xdr:rowOff>
    </xdr:from>
    <xdr:to>
      <xdr:col>1</xdr:col>
      <xdr:colOff>815340</xdr:colOff>
      <xdr:row>2</xdr:row>
      <xdr:rowOff>26744</xdr:rowOff>
    </xdr:to>
    <xdr:sp macro="" textlink="pivot_backend!G4">
      <xdr:nvSpPr>
        <xdr:cNvPr id="13" name="TextBox 12">
          <a:extLst>
            <a:ext uri="{FF2B5EF4-FFF2-40B4-BE49-F238E27FC236}">
              <a16:creationId xmlns:a16="http://schemas.microsoft.com/office/drawing/2014/main" id="{FE8EC2C4-6F0A-4F2A-9B57-1CD0FE95C835}"/>
            </a:ext>
          </a:extLst>
        </xdr:cNvPr>
        <xdr:cNvSpPr txBox="1"/>
      </xdr:nvSpPr>
      <xdr:spPr>
        <a:xfrm>
          <a:off x="0" y="141044"/>
          <a:ext cx="9677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59E0B"/>
              </a:solidFill>
              <a:latin typeface="Font: Segoe UI Semibold"/>
            </a:rPr>
            <a:t>🛒</a:t>
          </a:r>
          <a:r>
            <a:rPr lang="en-IN" sz="1400" b="1">
              <a:solidFill>
                <a:srgbClr val="E2E8F0"/>
              </a:solidFill>
              <a:latin typeface="Font: Segoe UI Semibold"/>
            </a:rPr>
            <a:t> Orders</a:t>
          </a:r>
        </a:p>
      </xdr:txBody>
    </xdr:sp>
    <xdr:clientData/>
  </xdr:twoCellAnchor>
  <xdr:twoCellAnchor>
    <xdr:from>
      <xdr:col>0</xdr:col>
      <xdr:colOff>0</xdr:colOff>
      <xdr:row>4</xdr:row>
      <xdr:rowOff>24499</xdr:rowOff>
    </xdr:from>
    <xdr:to>
      <xdr:col>1</xdr:col>
      <xdr:colOff>934720</xdr:colOff>
      <xdr:row>5</xdr:row>
      <xdr:rowOff>80528</xdr:rowOff>
    </xdr:to>
    <xdr:sp macro="" textlink="pivot_backend!G4">
      <xdr:nvSpPr>
        <xdr:cNvPr id="15" name="TextBox 14">
          <a:extLst>
            <a:ext uri="{FF2B5EF4-FFF2-40B4-BE49-F238E27FC236}">
              <a16:creationId xmlns:a16="http://schemas.microsoft.com/office/drawing/2014/main" id="{497EE589-E499-4B81-BD61-CF9D7B7C27EC}"/>
            </a:ext>
          </a:extLst>
        </xdr:cNvPr>
        <xdr:cNvSpPr txBox="1"/>
      </xdr:nvSpPr>
      <xdr:spPr>
        <a:xfrm>
          <a:off x="0" y="739462"/>
          <a:ext cx="1085239" cy="23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59E0B"/>
              </a:solidFill>
              <a:latin typeface="Font: Segoe UI Semibold"/>
            </a:rPr>
            <a:t>👕</a:t>
          </a:r>
          <a:r>
            <a:rPr lang="en-IN" sz="1400" b="1">
              <a:solidFill>
                <a:srgbClr val="E2E8F0"/>
              </a:solidFill>
              <a:latin typeface="Font: Segoe UI Semibold"/>
            </a:rPr>
            <a:t>Quantity</a:t>
          </a:r>
        </a:p>
      </xdr:txBody>
    </xdr:sp>
    <xdr:clientData/>
  </xdr:twoCellAnchor>
  <xdr:twoCellAnchor>
    <xdr:from>
      <xdr:col>0</xdr:col>
      <xdr:colOff>0</xdr:colOff>
      <xdr:row>7</xdr:row>
      <xdr:rowOff>113403</xdr:rowOff>
    </xdr:from>
    <xdr:to>
      <xdr:col>1</xdr:col>
      <xdr:colOff>874888</xdr:colOff>
      <xdr:row>9</xdr:row>
      <xdr:rowOff>0</xdr:rowOff>
    </xdr:to>
    <xdr:sp macro="" textlink="pivot_backend!G4">
      <xdr:nvSpPr>
        <xdr:cNvPr id="16" name="TextBox 15">
          <a:extLst>
            <a:ext uri="{FF2B5EF4-FFF2-40B4-BE49-F238E27FC236}">
              <a16:creationId xmlns:a16="http://schemas.microsoft.com/office/drawing/2014/main" id="{CA19231A-455D-427C-A6B7-A8C466604D53}"/>
            </a:ext>
          </a:extLst>
        </xdr:cNvPr>
        <xdr:cNvSpPr txBox="1"/>
      </xdr:nvSpPr>
      <xdr:spPr>
        <a:xfrm>
          <a:off x="0" y="1364588"/>
          <a:ext cx="1025407" cy="244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E2E8F0"/>
              </a:solidFill>
              <a:latin typeface="Font: Segoe UI Semibold"/>
            </a:rPr>
            <a:t>💰Amount</a:t>
          </a:r>
        </a:p>
      </xdr:txBody>
    </xdr:sp>
    <xdr:clientData/>
  </xdr:twoCellAnchor>
  <xdr:twoCellAnchor>
    <xdr:from>
      <xdr:col>0</xdr:col>
      <xdr:colOff>0</xdr:colOff>
      <xdr:row>10</xdr:row>
      <xdr:rowOff>169882</xdr:rowOff>
    </xdr:from>
    <xdr:to>
      <xdr:col>1</xdr:col>
      <xdr:colOff>1120588</xdr:colOff>
      <xdr:row>12</xdr:row>
      <xdr:rowOff>48410</xdr:rowOff>
    </xdr:to>
    <xdr:sp macro="" textlink="pivot_backend!G4">
      <xdr:nvSpPr>
        <xdr:cNvPr id="17" name="TextBox 16">
          <a:extLst>
            <a:ext uri="{FF2B5EF4-FFF2-40B4-BE49-F238E27FC236}">
              <a16:creationId xmlns:a16="http://schemas.microsoft.com/office/drawing/2014/main" id="{E054B7BC-4E3C-4101-ADB0-9B8684E27497}"/>
            </a:ext>
          </a:extLst>
        </xdr:cNvPr>
        <xdr:cNvSpPr txBox="1"/>
      </xdr:nvSpPr>
      <xdr:spPr>
        <a:xfrm>
          <a:off x="0" y="1998682"/>
          <a:ext cx="1272988" cy="244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E2E8F0"/>
              </a:solidFill>
              <a:latin typeface="Font: Segoe UI Semibold"/>
            </a:rPr>
            <a:t>⭐ Avg.Rating</a:t>
          </a:r>
        </a:p>
      </xdr:txBody>
    </xdr:sp>
    <xdr:clientData/>
  </xdr:twoCellAnchor>
  <xdr:twoCellAnchor>
    <xdr:from>
      <xdr:col>0</xdr:col>
      <xdr:colOff>0</xdr:colOff>
      <xdr:row>14</xdr:row>
      <xdr:rowOff>24738</xdr:rowOff>
    </xdr:from>
    <xdr:to>
      <xdr:col>3</xdr:col>
      <xdr:colOff>20320</xdr:colOff>
      <xdr:row>16</xdr:row>
      <xdr:rowOff>32360</xdr:rowOff>
    </xdr:to>
    <xdr:sp macro="" textlink="pivot_backend!G4">
      <xdr:nvSpPr>
        <xdr:cNvPr id="18" name="TextBox 17">
          <a:extLst>
            <a:ext uri="{FF2B5EF4-FFF2-40B4-BE49-F238E27FC236}">
              <a16:creationId xmlns:a16="http://schemas.microsoft.com/office/drawing/2014/main" id="{405822B5-63D7-491B-82D4-C14E6448CB2A}"/>
            </a:ext>
          </a:extLst>
        </xdr:cNvPr>
        <xdr:cNvSpPr txBox="1"/>
      </xdr:nvSpPr>
      <xdr:spPr>
        <a:xfrm>
          <a:off x="0" y="2527108"/>
          <a:ext cx="1525505" cy="365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E2E8F0"/>
              </a:solidFill>
              <a:latin typeface="Font: Segoe UI Semibold"/>
            </a:rPr>
            <a:t>📆 Days</a:t>
          </a:r>
          <a:r>
            <a:rPr lang="en-IN" sz="1300" b="1" baseline="0">
              <a:solidFill>
                <a:srgbClr val="E2E8F0"/>
              </a:solidFill>
              <a:latin typeface="Font: Segoe UI Semibold"/>
            </a:rPr>
            <a:t> To Deliver</a:t>
          </a:r>
          <a:endParaRPr lang="en-IN" sz="1300" b="1">
            <a:solidFill>
              <a:srgbClr val="E2E8F0"/>
            </a:solidFill>
            <a:latin typeface="Font: Segoe UI Semibold"/>
          </a:endParaRPr>
        </a:p>
      </xdr:txBody>
    </xdr:sp>
    <xdr:clientData/>
  </xdr:twoCellAnchor>
  <xdr:twoCellAnchor>
    <xdr:from>
      <xdr:col>3</xdr:col>
      <xdr:colOff>312194</xdr:colOff>
      <xdr:row>2</xdr:row>
      <xdr:rowOff>19050</xdr:rowOff>
    </xdr:from>
    <xdr:to>
      <xdr:col>10</xdr:col>
      <xdr:colOff>19792</xdr:colOff>
      <xdr:row>13</xdr:row>
      <xdr:rowOff>147700</xdr:rowOff>
    </xdr:to>
    <xdr:graphicFrame macro="">
      <xdr:nvGraphicFramePr>
        <xdr:cNvPr id="19" name="Chart 18">
          <a:extLst>
            <a:ext uri="{FF2B5EF4-FFF2-40B4-BE49-F238E27FC236}">
              <a16:creationId xmlns:a16="http://schemas.microsoft.com/office/drawing/2014/main" id="{7B7486C7-C0C5-464B-9118-F93B03960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110341</xdr:colOff>
      <xdr:row>2</xdr:row>
      <xdr:rowOff>23380</xdr:rowOff>
    </xdr:from>
    <xdr:to>
      <xdr:col>16</xdr:col>
      <xdr:colOff>367640</xdr:colOff>
      <xdr:row>13</xdr:row>
      <xdr:rowOff>156111</xdr:rowOff>
    </xdr:to>
    <xdr:sp macro="" textlink="">
      <xdr:nvSpPr>
        <xdr:cNvPr id="20" name="Rectangle 19">
          <a:extLst>
            <a:ext uri="{FF2B5EF4-FFF2-40B4-BE49-F238E27FC236}">
              <a16:creationId xmlns:a16="http://schemas.microsoft.com/office/drawing/2014/main" id="{95F81786-4F54-CE3D-03D7-C32AE1C1E2C0}"/>
            </a:ext>
          </a:extLst>
        </xdr:cNvPr>
        <xdr:cNvSpPr/>
      </xdr:nvSpPr>
      <xdr:spPr>
        <a:xfrm>
          <a:off x="5977741" y="385330"/>
          <a:ext cx="3914899" cy="21234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334155"/>
              </a:solidFill>
              <a:latin typeface="+mj-lt"/>
            </a:rPr>
            <a:t>How</a:t>
          </a:r>
          <a:r>
            <a:rPr lang="en-IN" sz="1400" b="1" baseline="0">
              <a:solidFill>
                <a:srgbClr val="334155"/>
              </a:solidFill>
              <a:latin typeface="+mj-lt"/>
            </a:rPr>
            <a:t> Customers Like to Buy</a:t>
          </a:r>
          <a:endParaRPr lang="en-IN" sz="1400" b="1">
            <a:solidFill>
              <a:srgbClr val="334155"/>
            </a:solidFill>
            <a:latin typeface="+mj-lt"/>
          </a:endParaRPr>
        </a:p>
      </xdr:txBody>
    </xdr:sp>
    <xdr:clientData/>
  </xdr:twoCellAnchor>
  <mc:AlternateContent xmlns:mc="http://schemas.openxmlformats.org/markup-compatibility/2006">
    <mc:Choice xmlns:a14="http://schemas.microsoft.com/office/drawing/2010/main" Requires="a14">
      <xdr:twoCellAnchor editAs="oneCell">
        <xdr:from>
          <xdr:col>10</xdr:col>
          <xdr:colOff>434404</xdr:colOff>
          <xdr:row>4</xdr:row>
          <xdr:rowOff>113078</xdr:rowOff>
        </xdr:from>
        <xdr:to>
          <xdr:col>16</xdr:col>
          <xdr:colOff>31171</xdr:colOff>
          <xdr:row>13</xdr:row>
          <xdr:rowOff>42789</xdr:rowOff>
        </xdr:to>
        <xdr:pic>
          <xdr:nvPicPr>
            <xdr:cNvPr id="7" name="Picture 6">
              <a:extLst>
                <a:ext uri="{FF2B5EF4-FFF2-40B4-BE49-F238E27FC236}">
                  <a16:creationId xmlns:a16="http://schemas.microsoft.com/office/drawing/2014/main" id="{65EED5E2-3988-0FD4-21A8-3FB31FF6B925}"/>
                </a:ext>
              </a:extLst>
            </xdr:cNvPr>
            <xdr:cNvPicPr>
              <a:picLocks noChangeAspect="1" noChangeArrowheads="1"/>
              <a:extLst>
                <a:ext uri="{84589F7E-364E-4C9E-8A38-B11213B215E9}">
                  <a14:cameraTool cellRange="pivot_backend!$N$10:$R$15" spid="_x0000_s1047"/>
                </a:ext>
              </a:extLst>
            </xdr:cNvPicPr>
          </xdr:nvPicPr>
          <xdr:blipFill>
            <a:blip xmlns:r="http://schemas.openxmlformats.org/officeDocument/2006/relationships" r:embed="rId2"/>
            <a:srcRect/>
            <a:stretch>
              <a:fillRect/>
            </a:stretch>
          </xdr:blipFill>
          <xdr:spPr bwMode="auto">
            <a:xfrm>
              <a:off x="6301804" y="836978"/>
              <a:ext cx="3254367" cy="15584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556869</xdr:colOff>
      <xdr:row>2</xdr:row>
      <xdr:rowOff>31428</xdr:rowOff>
    </xdr:from>
    <xdr:to>
      <xdr:col>22</xdr:col>
      <xdr:colOff>255150</xdr:colOff>
      <xdr:row>13</xdr:row>
      <xdr:rowOff>160447</xdr:rowOff>
    </xdr:to>
    <xdr:graphicFrame macro="">
      <xdr:nvGraphicFramePr>
        <xdr:cNvPr id="22" name="Chart 21">
          <a:extLst>
            <a:ext uri="{FF2B5EF4-FFF2-40B4-BE49-F238E27FC236}">
              <a16:creationId xmlns:a16="http://schemas.microsoft.com/office/drawing/2014/main" id="{B53FC305-A7C0-46B1-8071-0FD0C6E8C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139356</xdr:colOff>
      <xdr:row>14</xdr:row>
      <xdr:rowOff>65852</xdr:rowOff>
    </xdr:from>
    <xdr:to>
      <xdr:col>16</xdr:col>
      <xdr:colOff>382849</xdr:colOff>
      <xdr:row>37</xdr:row>
      <xdr:rowOff>56445</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B3AB1063-69AC-4FE8-A9B1-12B4EB3D35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924912" y="2568222"/>
              <a:ext cx="3912381" cy="4101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555495</xdr:colOff>
      <xdr:row>14</xdr:row>
      <xdr:rowOff>66419</xdr:rowOff>
    </xdr:from>
    <xdr:to>
      <xdr:col>22</xdr:col>
      <xdr:colOff>258612</xdr:colOff>
      <xdr:row>26</xdr:row>
      <xdr:rowOff>94074</xdr:rowOff>
    </xdr:to>
    <xdr:graphicFrame macro="">
      <xdr:nvGraphicFramePr>
        <xdr:cNvPr id="28" name="Chart 27">
          <a:extLst>
            <a:ext uri="{FF2B5EF4-FFF2-40B4-BE49-F238E27FC236}">
              <a16:creationId xmlns:a16="http://schemas.microsoft.com/office/drawing/2014/main" id="{381926F8-5480-4416-87A6-48C392207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574797</xdr:colOff>
      <xdr:row>27</xdr:row>
      <xdr:rowOff>116479</xdr:rowOff>
    </xdr:from>
    <xdr:to>
      <xdr:col>22</xdr:col>
      <xdr:colOff>268018</xdr:colOff>
      <xdr:row>37</xdr:row>
      <xdr:rowOff>23166</xdr:rowOff>
    </xdr:to>
    <xdr:graphicFrame macro="">
      <xdr:nvGraphicFramePr>
        <xdr:cNvPr id="29" name="Chart 28">
          <a:extLst>
            <a:ext uri="{FF2B5EF4-FFF2-40B4-BE49-F238E27FC236}">
              <a16:creationId xmlns:a16="http://schemas.microsoft.com/office/drawing/2014/main" id="{B24EE936-F083-4FAB-97A9-426B14806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71448</xdr:colOff>
      <xdr:row>18</xdr:row>
      <xdr:rowOff>91442</xdr:rowOff>
    </xdr:from>
    <xdr:to>
      <xdr:col>3</xdr:col>
      <xdr:colOff>9406</xdr:colOff>
      <xdr:row>28</xdr:row>
      <xdr:rowOff>110490</xdr:rowOff>
    </xdr:to>
    <mc:AlternateContent xmlns:mc="http://schemas.openxmlformats.org/markup-compatibility/2006">
      <mc:Choice xmlns:a14="http://schemas.microsoft.com/office/drawing/2010/main" Requires="a14">
        <xdr:graphicFrame macro="">
          <xdr:nvGraphicFramePr>
            <xdr:cNvPr id="30" name="Order Mode">
              <a:extLst>
                <a:ext uri="{FF2B5EF4-FFF2-40B4-BE49-F238E27FC236}">
                  <a16:creationId xmlns:a16="http://schemas.microsoft.com/office/drawing/2014/main" id="{90294F18-6A3F-4803-A980-47F4B0F815ED}"/>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71448" y="3450462"/>
              <a:ext cx="1446407" cy="1885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76227</xdr:colOff>
      <xdr:row>28</xdr:row>
      <xdr:rowOff>152844</xdr:rowOff>
    </xdr:from>
    <xdr:to>
      <xdr:col>3</xdr:col>
      <xdr:colOff>9408</xdr:colOff>
      <xdr:row>37</xdr:row>
      <xdr:rowOff>95133</xdr:rowOff>
    </xdr:to>
    <mc:AlternateContent xmlns:mc="http://schemas.openxmlformats.org/markup-compatibility/2006">
      <mc:Choice xmlns:a14="http://schemas.microsoft.com/office/drawing/2010/main" Requires="a14">
        <xdr:graphicFrame macro="">
          <xdr:nvGraphicFramePr>
            <xdr:cNvPr id="31" name="Gender Value">
              <a:extLst>
                <a:ext uri="{FF2B5EF4-FFF2-40B4-BE49-F238E27FC236}">
                  <a16:creationId xmlns:a16="http://schemas.microsoft.com/office/drawing/2014/main" id="{A33BDD9E-1548-4771-8657-55B6B4C175C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76227" y="5377987"/>
              <a:ext cx="1441630" cy="162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306127</xdr:colOff>
      <xdr:row>14</xdr:row>
      <xdr:rowOff>69760</xdr:rowOff>
    </xdr:from>
    <xdr:to>
      <xdr:col>10</xdr:col>
      <xdr:colOff>38117</xdr:colOff>
      <xdr:row>37</xdr:row>
      <xdr:rowOff>47036</xdr:rowOff>
    </xdr:to>
    <xdr:graphicFrame macro="">
      <xdr:nvGraphicFramePr>
        <xdr:cNvPr id="33" name="Chart 32">
          <a:extLst>
            <a:ext uri="{FF2B5EF4-FFF2-40B4-BE49-F238E27FC236}">
              <a16:creationId xmlns:a16="http://schemas.microsoft.com/office/drawing/2014/main" id="{8E9A8AAC-674E-4BA9-80F8-62098B0AA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352970</xdr:colOff>
      <xdr:row>29</xdr:row>
      <xdr:rowOff>12191</xdr:rowOff>
    </xdr:from>
    <xdr:to>
      <xdr:col>7</xdr:col>
      <xdr:colOff>522304</xdr:colOff>
      <xdr:row>36</xdr:row>
      <xdr:rowOff>57692</xdr:rowOff>
    </xdr:to>
    <xdr:graphicFrame macro="">
      <xdr:nvGraphicFramePr>
        <xdr:cNvPr id="34" name="Chart 33">
          <a:extLst>
            <a:ext uri="{FF2B5EF4-FFF2-40B4-BE49-F238E27FC236}">
              <a16:creationId xmlns:a16="http://schemas.microsoft.com/office/drawing/2014/main" id="{D523B36F-CAA5-438A-AA8A-415E1B93D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519953</xdr:colOff>
      <xdr:row>22</xdr:row>
      <xdr:rowOff>116542</xdr:rowOff>
    </xdr:from>
    <xdr:to>
      <xdr:col>16</xdr:col>
      <xdr:colOff>179294</xdr:colOff>
      <xdr:row>28</xdr:row>
      <xdr:rowOff>170330</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800C13E4-B146-43FD-AF7C-E2582FEEB1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825753" y="4097992"/>
              <a:ext cx="878541" cy="11396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refreshedDate="46173.588022222226" createdVersion="8" refreshedVersion="8" minRefreshableVersion="3" recordCount="2400" xr:uid="{D2B15519-0A0E-49F2-A252-381D9A210E55}">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782955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D2805-33F0-46EF-A791-A9C6C554194A}" name="pivotProducts"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0:F72"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3" format="8" series="1">
      <pivotArea type="data" outline="0" fieldPosition="0">
        <references count="2">
          <reference field="4294967294" count="1" selected="0">
            <x v="0"/>
          </reference>
          <reference field="14" count="1" selected="0">
            <x v="0"/>
          </reference>
        </references>
      </pivotArea>
    </chartFormat>
    <chartFormat chart="13" format="9" series="1">
      <pivotArea type="data" outline="0" fieldPosition="0">
        <references count="2">
          <reference field="4294967294" count="1" selected="0">
            <x v="0"/>
          </reference>
          <reference field="14" count="1" selected="0">
            <x v="1"/>
          </reference>
        </references>
      </pivotArea>
    </chartFormat>
    <chartFormat chart="13" format="10" series="1">
      <pivotArea type="data" outline="0" fieldPosition="0">
        <references count="2">
          <reference field="4294967294" count="1" selected="0">
            <x v="0"/>
          </reference>
          <reference field="14" count="1" selected="0">
            <x v="2"/>
          </reference>
        </references>
      </pivotArea>
    </chartFormat>
    <chartFormat chart="1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AE18B9-BCD1-4374-BADF-9CA2A211DF0F}" name="pivotSatisfaction"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45:M150"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2" format="10" series="1">
      <pivotArea type="data" outline="0" fieldPosition="0">
        <references count="2">
          <reference field="4294967294" count="1" selected="0">
            <x v="0"/>
          </reference>
          <reference field="9" count="1" selected="0">
            <x v="0"/>
          </reference>
        </references>
      </pivotArea>
    </chartFormat>
    <chartFormat chart="12" format="11" series="1">
      <pivotArea type="data" outline="0" fieldPosition="0">
        <references count="2">
          <reference field="4294967294" count="1" selected="0">
            <x v="0"/>
          </reference>
          <reference field="9" count="1" selected="0">
            <x v="1"/>
          </reference>
        </references>
      </pivotArea>
    </chartFormat>
    <chartFormat chart="12" format="12" series="1">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2">
          <reference field="4294967294" count="1" selected="0">
            <x v="0"/>
          </reference>
          <reference field="9" count="1" selected="0">
            <x v="3"/>
          </reference>
        </references>
      </pivotArea>
    </chartFormat>
    <chartFormat chart="12"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999EFC-81CA-4D36-B46F-F4A60D2487E6}" name="pivotDuration"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5:B16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45E75A-EF15-4ABA-8110-A7456A60EFC3}" name="pivotMap" cacheId="4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A80:D138"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D84B0-A869-42D1-A024-99658495260F}" name="pivotGender"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I47:J52"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1" format="0" series="1">
      <pivotArea type="data" outline="0" fieldPosition="0">
        <references count="2">
          <reference field="4294967294" count="1" selected="0">
            <x v="0"/>
          </reference>
          <reference field="14" count="1" selected="0">
            <x v="0"/>
          </reference>
        </references>
      </pivotArea>
    </chartFormat>
    <chartFormat chart="21" format="1" series="1">
      <pivotArea type="data" outline="0" fieldPosition="0">
        <references count="2">
          <reference field="4294967294" count="1" selected="0">
            <x v="0"/>
          </reference>
          <reference field="14" count="1" selected="0">
            <x v="1"/>
          </reference>
        </references>
      </pivotArea>
    </chartFormat>
    <chartFormat chart="21" format="2" series="1">
      <pivotArea type="data" outline="0" fieldPosition="0">
        <references count="2">
          <reference field="4294967294" count="1" selected="0">
            <x v="0"/>
          </reference>
          <reference field="14" count="1" selected="0">
            <x v="2"/>
          </reference>
        </references>
      </pivotArea>
    </chartFormat>
    <chartFormat chart="21" format="3" series="1">
      <pivotArea type="data" outline="0" fieldPosition="0">
        <references count="2">
          <reference field="4294967294" count="1" selected="0">
            <x v="0"/>
          </reference>
          <reference field="14" count="1" selected="0">
            <x v="3"/>
          </reference>
        </references>
      </pivotArea>
    </chartFormat>
    <chartFormat chart="24" format="8" series="1">
      <pivotArea type="data" outline="0" fieldPosition="0">
        <references count="2">
          <reference field="4294967294" count="1" selected="0">
            <x v="0"/>
          </reference>
          <reference field="14" count="1" selected="0">
            <x v="0"/>
          </reference>
        </references>
      </pivotArea>
    </chartFormat>
    <chartFormat chart="24" format="9" series="1">
      <pivotArea type="data" outline="0" fieldPosition="0">
        <references count="2">
          <reference field="4294967294" count="1" selected="0">
            <x v="0"/>
          </reference>
          <reference field="14" count="1" selected="0">
            <x v="1"/>
          </reference>
        </references>
      </pivotArea>
    </chartFormat>
    <chartFormat chart="24" format="10" series="1">
      <pivotArea type="data" outline="0" fieldPosition="0">
        <references count="2">
          <reference field="4294967294" count="1" selected="0">
            <x v="0"/>
          </reference>
          <reference field="14" count="1" selected="0">
            <x v="2"/>
          </reference>
        </references>
      </pivotArea>
    </chartFormat>
    <chartFormat chart="24" format="11" series="1">
      <pivotArea type="data" outline="0" fieldPosition="0">
        <references count="2">
          <reference field="4294967294" count="1" selected="0">
            <x v="0"/>
          </reference>
          <reference field="14" count="1" selected="0">
            <x v="3"/>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14" count="1" selected="0">
            <x v="0"/>
          </reference>
        </references>
      </pivotArea>
    </chartFormat>
    <chartFormat chart="39" format="8">
      <pivotArea type="data" outline="0" fieldPosition="0">
        <references count="2">
          <reference field="4294967294" count="1" selected="0">
            <x v="0"/>
          </reference>
          <reference field="14" count="1" selected="0">
            <x v="1"/>
          </reference>
        </references>
      </pivotArea>
    </chartFormat>
    <chartFormat chart="39" format="9">
      <pivotArea type="data" outline="0" fieldPosition="0">
        <references count="2">
          <reference field="4294967294" count="1" selected="0">
            <x v="0"/>
          </reference>
          <reference field="14" count="1" selected="0">
            <x v="2"/>
          </reference>
        </references>
      </pivotArea>
    </chartFormat>
    <chartFormat chart="3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3190A5-FD9D-47F8-85DC-43C3D717128B}" name="pivotQuantity"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4:B42"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1B184E-7BEA-48D7-BC56-C2AC80A05D48}" name="pivotcategories"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L17"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F1F20B-23EF-4250-A628-643640115B2F}" name="pivotTrend"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49790A-5312-4C8E-BD76-CE9938D4B486}" name="pivotSummary"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3A9724B-6AC2-4CCB-94A9-B3D4A7ABEED3}" sourceName="Order Mode">
  <pivotTables>
    <pivotTable tabId="5" name="pivotSatisfaction"/>
    <pivotTable tabId="5" name="pivotDuration"/>
    <pivotTable tabId="5" name="pivotMap"/>
    <pivotTable tabId="5" name="pivotQuantity"/>
    <pivotTable tabId="5" name="pivotTrend"/>
    <pivotTable tabId="5" name="pivotGender"/>
    <pivotTable tabId="5" name="pivotProducts"/>
  </pivotTables>
  <data>
    <tabular pivotCacheId="178295568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FD3971A-FBED-4661-A619-5F5BCBEAF14E}" sourceName="Gender Value">
  <pivotTables>
    <pivotTable tabId="5" name="pivotSatisfaction"/>
    <pivotTable tabId="5" name="pivotDuration"/>
    <pivotTable tabId="5" name="pivotMap"/>
    <pivotTable tabId="5" name="pivotQuantity"/>
    <pivotTable tabId="5" name="pivotTrend"/>
  </pivotTables>
  <data>
    <tabular pivotCacheId="178295568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E88AC82-0E3A-4D6C-991F-F18BBB1A778B}" cache="Slicer_Order_Mode" caption="Order Mode" style="SlicerStyleDark1" rowHeight="247650"/>
  <slicer name="Gender Value" xr10:uid="{32AE8938-7718-4196-8841-08F11721C62C}" cache="Slicer_Gender_Value" caption="Customer Gend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6"/>
    <tableColumn id="7" xr3:uid="{43BB5DBF-46E1-4185-80C0-4361F55A385C}" name="Ship Date" dataDxfId="5"/>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4">
      <calculatedColumnFormula>orders[[#This Row],[Ship Date]]-orders[[#This Row],[Order Date]]</calculatedColumnFormula>
    </tableColumn>
    <tableColumn id="12" xr3:uid="{B071C0DA-87A9-4516-B4D9-4F5B7D3FF44A}" name="Weeknum" dataDxfId="3">
      <calculatedColumnFormula>WEEKNUM(orders[[#This Row],[Order Date]])</calculatedColumnFormula>
    </tableColumn>
    <tableColumn id="13" xr3:uid="{B8EA9E28-7541-4E76-9935-C26438661A18}" name="Gender Value" dataDxfId="2">
      <calculatedColumnFormula array="1">_xlfn.IFS(orders[[#This Row],[Customer Gender]]="M","Male", orders[[#This Row],[Customer Gender]]="F","Female", orders[[#This Row],[Customer Gender]]="O","Other", TRUE,"Unknown")</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C17" sqref="C17"/>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5D70-DF8E-4684-B12B-CC505548A62B}">
  <dimension ref="A2:R161"/>
  <sheetViews>
    <sheetView showGridLines="0" topLeftCell="A39" workbookViewId="0">
      <selection activeCell="B56" sqref="B56"/>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7" max="7" width="12.44140625" bestFit="1" customWidth="1"/>
    <col min="8" max="8" width="15.5546875" bestFit="1" customWidth="1"/>
    <col min="9" max="9" width="12.44140625" bestFit="1" customWidth="1"/>
    <col min="10" max="10" width="14.21875" bestFit="1" customWidth="1"/>
    <col min="11" max="11" width="5" bestFit="1" customWidth="1"/>
    <col min="12" max="12" width="4" bestFit="1" customWidth="1"/>
    <col min="13" max="14" width="10.5546875" bestFit="1" customWidth="1"/>
    <col min="15" max="17" width="9" bestFit="1" customWidth="1"/>
    <col min="18" max="18" width="8.21875" customWidth="1"/>
    <col min="19" max="2401" width="9" bestFit="1" customWidth="1"/>
    <col min="2402" max="2402" width="10.5546875" bestFit="1" customWidth="1"/>
  </cols>
  <sheetData>
    <row r="2" spans="1:18" x14ac:dyDescent="0.3">
      <c r="G2" t="s">
        <v>2509</v>
      </c>
    </row>
    <row r="3" spans="1:18" x14ac:dyDescent="0.3">
      <c r="A3" t="s">
        <v>2504</v>
      </c>
      <c r="B3" t="s">
        <v>2505</v>
      </c>
      <c r="C3" t="s">
        <v>2506</v>
      </c>
      <c r="D3" t="s">
        <v>2507</v>
      </c>
      <c r="E3" t="s">
        <v>2508</v>
      </c>
      <c r="G3" t="s">
        <v>2503</v>
      </c>
      <c r="H3" t="s">
        <v>2</v>
      </c>
      <c r="I3" t="s">
        <v>4</v>
      </c>
      <c r="J3" t="s">
        <v>2510</v>
      </c>
      <c r="K3" t="s">
        <v>2511</v>
      </c>
    </row>
    <row r="4" spans="1:18" x14ac:dyDescent="0.3">
      <c r="A4" s="6">
        <v>2400</v>
      </c>
      <c r="B4" s="6">
        <v>11997</v>
      </c>
      <c r="C4" s="6">
        <v>649019.80000000144</v>
      </c>
      <c r="D4" s="6">
        <v>3.9620833333333332</v>
      </c>
      <c r="E4" s="6">
        <v>2.3424999999999998</v>
      </c>
      <c r="G4" t="str">
        <f>TEXT(A4,"#,##")</f>
        <v>2,400</v>
      </c>
      <c r="H4" t="str">
        <f t="shared" ref="H4" si="0">TEXT(B4,"#,##")</f>
        <v>11,997</v>
      </c>
      <c r="I4" t="str">
        <f>TEXT(C4,"$#,##,.0k")</f>
        <v>$649.0k</v>
      </c>
      <c r="J4" t="str">
        <f>TEXT(D4,"0.0")</f>
        <v>4.0</v>
      </c>
      <c r="K4" t="str">
        <f>TEXT(E4,"0.0")</f>
        <v>2.3</v>
      </c>
    </row>
    <row r="8" spans="1:18" x14ac:dyDescent="0.3">
      <c r="N8" s="4" t="s">
        <v>2515</v>
      </c>
    </row>
    <row r="9" spans="1:18" ht="15" thickBot="1" x14ac:dyDescent="0.35"/>
    <row r="10" spans="1:18" ht="15.6" thickTop="1" thickBot="1" x14ac:dyDescent="0.35">
      <c r="A10" s="3" t="s">
        <v>2512</v>
      </c>
      <c r="B10" t="s">
        <v>2505</v>
      </c>
      <c r="C10" t="s">
        <v>2506</v>
      </c>
      <c r="G10" s="3" t="s">
        <v>2506</v>
      </c>
      <c r="H10" s="3" t="s">
        <v>2514</v>
      </c>
      <c r="N10" s="11"/>
      <c r="O10" s="11" t="str">
        <f>H11</f>
        <v>Female</v>
      </c>
      <c r="P10" s="11" t="str">
        <f>I11</f>
        <v>Male</v>
      </c>
      <c r="Q10" s="11" t="str">
        <f>J11</f>
        <v>Other</v>
      </c>
      <c r="R10" s="11" t="str">
        <f>K11</f>
        <v>Unknown</v>
      </c>
    </row>
    <row r="11" spans="1:18" ht="15.6" thickTop="1" thickBot="1" x14ac:dyDescent="0.35">
      <c r="A11" s="4">
        <v>1</v>
      </c>
      <c r="B11" s="6">
        <v>546</v>
      </c>
      <c r="C11" s="5">
        <v>32413.300000000003</v>
      </c>
      <c r="G11" s="3" t="s">
        <v>2512</v>
      </c>
      <c r="H11" t="s">
        <v>2516</v>
      </c>
      <c r="I11" t="s">
        <v>2517</v>
      </c>
      <c r="J11" t="s">
        <v>2518</v>
      </c>
      <c r="K11" t="s">
        <v>2519</v>
      </c>
      <c r="L11" t="s">
        <v>2513</v>
      </c>
      <c r="N11" s="11" t="str">
        <f>G12</f>
        <v>App</v>
      </c>
      <c r="O11" s="12">
        <f>H12</f>
        <v>0.18961825201634841</v>
      </c>
      <c r="P11" s="12">
        <f>I12</f>
        <v>0.12262322351336576</v>
      </c>
      <c r="Q11" s="12">
        <f>J12</f>
        <v>1.060537752469185E-2</v>
      </c>
      <c r="R11" s="12">
        <f>K12</f>
        <v>3.0599220547662797E-2</v>
      </c>
    </row>
    <row r="12" spans="1:18" ht="15.6" thickTop="1" thickBot="1" x14ac:dyDescent="0.35">
      <c r="A12" s="4">
        <v>2</v>
      </c>
      <c r="B12" s="6">
        <v>905</v>
      </c>
      <c r="C12" s="5">
        <v>49562.999999999993</v>
      </c>
      <c r="G12" s="4" t="s">
        <v>18</v>
      </c>
      <c r="H12" s="7">
        <v>0.18961825201634841</v>
      </c>
      <c r="I12" s="7">
        <v>0.12262322351336576</v>
      </c>
      <c r="J12" s="7">
        <v>1.060537752469185E-2</v>
      </c>
      <c r="K12" s="7">
        <v>3.0599220547662797E-2</v>
      </c>
      <c r="L12" s="7">
        <v>0.35344607360206881</v>
      </c>
      <c r="N12" s="11" t="str">
        <f>G13</f>
        <v>Instagram</v>
      </c>
      <c r="O12" s="12">
        <f>H13</f>
        <v>5.0283982091147303E-2</v>
      </c>
      <c r="P12" s="12">
        <f>I13</f>
        <v>4.3060781812819873E-2</v>
      </c>
      <c r="Q12" s="12">
        <f>J13</f>
        <v>1.5320025675641944E-3</v>
      </c>
      <c r="R12" s="12">
        <f>K13</f>
        <v>1.7794988689097006E-2</v>
      </c>
    </row>
    <row r="13" spans="1:18" ht="15.6" thickTop="1" thickBot="1" x14ac:dyDescent="0.35">
      <c r="A13" s="4">
        <v>3</v>
      </c>
      <c r="B13" s="6">
        <v>796</v>
      </c>
      <c r="C13" s="5">
        <v>41700.400000000016</v>
      </c>
      <c r="G13" s="4" t="s">
        <v>51</v>
      </c>
      <c r="H13" s="7">
        <v>5.0283982091147303E-2</v>
      </c>
      <c r="I13" s="7">
        <v>4.3060781812819873E-2</v>
      </c>
      <c r="J13" s="7">
        <v>1.5320025675641944E-3</v>
      </c>
      <c r="K13" s="7">
        <v>1.7794988689097006E-2</v>
      </c>
      <c r="L13" s="7">
        <v>0.11267175516062837</v>
      </c>
      <c r="N13" s="11" t="str">
        <f>G14</f>
        <v>Partner App</v>
      </c>
      <c r="O13" s="12">
        <f>H14</f>
        <v>6.3496059750411282E-2</v>
      </c>
      <c r="P13" s="12">
        <f>I14</f>
        <v>4.6071629863988765E-2</v>
      </c>
      <c r="Q13" s="12">
        <f>J14</f>
        <v>2.306247051322625E-3</v>
      </c>
      <c r="R13" s="12">
        <f>K14</f>
        <v>3.8927934093844286E-3</v>
      </c>
    </row>
    <row r="14" spans="1:18" ht="15.6" thickTop="1" thickBot="1" x14ac:dyDescent="0.35">
      <c r="A14" s="4">
        <v>4</v>
      </c>
      <c r="B14" s="6">
        <v>913</v>
      </c>
      <c r="C14" s="5">
        <v>46782.599999999984</v>
      </c>
      <c r="G14" s="4" t="s">
        <v>70</v>
      </c>
      <c r="H14" s="7">
        <v>6.3496059750411282E-2</v>
      </c>
      <c r="I14" s="7">
        <v>4.6071629863988765E-2</v>
      </c>
      <c r="J14" s="7">
        <v>2.306247051322625E-3</v>
      </c>
      <c r="K14" s="7">
        <v>3.8927934093844286E-3</v>
      </c>
      <c r="L14" s="7">
        <v>0.11576673007510711</v>
      </c>
      <c r="N14" s="11" t="str">
        <f>G15</f>
        <v>Target.com</v>
      </c>
      <c r="O14" s="12">
        <f>H15</f>
        <v>9.6337892927149532E-2</v>
      </c>
      <c r="P14" s="12">
        <f>I15</f>
        <v>6.7920115842382611E-2</v>
      </c>
      <c r="Q14" s="12">
        <f>J15</f>
        <v>5.4979832664581261E-3</v>
      </c>
      <c r="R14" s="12">
        <f>K15</f>
        <v>1.2933041488102518E-2</v>
      </c>
    </row>
    <row r="15" spans="1:18" ht="15.6" thickTop="1" thickBot="1" x14ac:dyDescent="0.35">
      <c r="A15" s="4">
        <v>5</v>
      </c>
      <c r="B15" s="6">
        <v>844</v>
      </c>
      <c r="C15" s="5">
        <v>42676.100000000006</v>
      </c>
      <c r="G15" s="4" t="s">
        <v>40</v>
      </c>
      <c r="H15" s="7">
        <v>9.6337892927149532E-2</v>
      </c>
      <c r="I15" s="7">
        <v>6.7920115842382611E-2</v>
      </c>
      <c r="J15" s="7">
        <v>5.4979832664581261E-3</v>
      </c>
      <c r="K15" s="7">
        <v>1.2933041488102518E-2</v>
      </c>
      <c r="L15" s="7">
        <v>0.1826890335240928</v>
      </c>
      <c r="N15" s="11" t="str">
        <f>G16</f>
        <v>Website</v>
      </c>
      <c r="O15" s="12">
        <f>H16</f>
        <v>0.12522098709469262</v>
      </c>
      <c r="P15" s="12">
        <f>I16</f>
        <v>9.1492740283116228E-2</v>
      </c>
      <c r="Q15" s="12">
        <f>J16</f>
        <v>6.3042760790965081E-3</v>
      </c>
      <c r="R15" s="12">
        <f>K16</f>
        <v>1.2408404181197551E-2</v>
      </c>
    </row>
    <row r="16" spans="1:18" ht="15" thickTop="1" x14ac:dyDescent="0.3">
      <c r="A16" s="4">
        <v>6</v>
      </c>
      <c r="B16" s="6">
        <v>1202</v>
      </c>
      <c r="C16" s="5">
        <v>62910.7</v>
      </c>
      <c r="G16" s="4" t="s">
        <v>35</v>
      </c>
      <c r="H16" s="7">
        <v>0.12522098709469262</v>
      </c>
      <c r="I16" s="7">
        <v>9.1492740283116228E-2</v>
      </c>
      <c r="J16" s="7">
        <v>6.3042760790965081E-3</v>
      </c>
      <c r="K16" s="7">
        <v>1.2408404181197551E-2</v>
      </c>
      <c r="L16" s="7">
        <v>0.23542640763810288</v>
      </c>
    </row>
    <row r="17" spans="1:12" x14ac:dyDescent="0.3">
      <c r="A17" s="4">
        <v>7</v>
      </c>
      <c r="B17" s="6">
        <v>935</v>
      </c>
      <c r="C17" s="5">
        <v>50332.200000000004</v>
      </c>
      <c r="G17" s="4" t="s">
        <v>2513</v>
      </c>
      <c r="H17" s="7">
        <v>0.52495717387974916</v>
      </c>
      <c r="I17" s="7">
        <v>0.3711684913156732</v>
      </c>
      <c r="J17" s="7">
        <v>2.6245886489133303E-2</v>
      </c>
      <c r="K17" s="7">
        <v>7.7628448315444312E-2</v>
      </c>
      <c r="L17" s="7">
        <v>1</v>
      </c>
    </row>
    <row r="18" spans="1:12" x14ac:dyDescent="0.3">
      <c r="A18" s="4">
        <v>8</v>
      </c>
      <c r="B18" s="6">
        <v>1128</v>
      </c>
      <c r="C18" s="5">
        <v>58760.599999999977</v>
      </c>
    </row>
    <row r="19" spans="1:12" x14ac:dyDescent="0.3">
      <c r="A19" s="4">
        <v>9</v>
      </c>
      <c r="B19" s="6">
        <v>1007</v>
      </c>
      <c r="C19" s="5">
        <v>52017.299999999996</v>
      </c>
    </row>
    <row r="20" spans="1:12" x14ac:dyDescent="0.3">
      <c r="A20" s="4">
        <v>10</v>
      </c>
      <c r="B20" s="6">
        <v>1128</v>
      </c>
      <c r="C20" s="5">
        <v>64915.700000000033</v>
      </c>
      <c r="G20" s="8"/>
      <c r="H20" s="9"/>
      <c r="I20" s="9"/>
      <c r="J20" s="9"/>
      <c r="K20" s="10"/>
    </row>
    <row r="21" spans="1:12" x14ac:dyDescent="0.3">
      <c r="A21" s="4">
        <v>11</v>
      </c>
      <c r="B21" s="6">
        <v>861</v>
      </c>
      <c r="C21" s="5">
        <v>45943.80000000001</v>
      </c>
    </row>
    <row r="22" spans="1:12" ht="19.8" customHeight="1" x14ac:dyDescent="0.3">
      <c r="A22" s="4">
        <v>12</v>
      </c>
      <c r="B22" s="6">
        <v>944</v>
      </c>
      <c r="C22" s="5">
        <v>55077.900000000031</v>
      </c>
    </row>
    <row r="23" spans="1:12" ht="19.8" customHeight="1" x14ac:dyDescent="0.3">
      <c r="A23" s="4">
        <v>13</v>
      </c>
      <c r="B23" s="6">
        <v>788</v>
      </c>
      <c r="C23" s="5">
        <v>45926.19999999999</v>
      </c>
    </row>
    <row r="24" spans="1:12" ht="19.8" customHeight="1" x14ac:dyDescent="0.3">
      <c r="A24" s="4" t="s">
        <v>2513</v>
      </c>
      <c r="B24" s="6">
        <v>11997</v>
      </c>
      <c r="C24" s="5">
        <v>649019.79999999993</v>
      </c>
    </row>
    <row r="25" spans="1:12" ht="19.2" customHeight="1" x14ac:dyDescent="0.3"/>
    <row r="26" spans="1:12" ht="20.399999999999999" customHeight="1" x14ac:dyDescent="0.3"/>
    <row r="34" spans="1:10" x14ac:dyDescent="0.3">
      <c r="A34" s="3" t="s">
        <v>2512</v>
      </c>
      <c r="B34" t="s">
        <v>2504</v>
      </c>
    </row>
    <row r="35" spans="1:10" x14ac:dyDescent="0.3">
      <c r="A35" s="4">
        <v>1</v>
      </c>
      <c r="B35" s="6">
        <v>397</v>
      </c>
    </row>
    <row r="36" spans="1:10" x14ac:dyDescent="0.3">
      <c r="A36" s="4">
        <v>2</v>
      </c>
      <c r="B36" s="6">
        <v>540</v>
      </c>
    </row>
    <row r="37" spans="1:10" x14ac:dyDescent="0.3">
      <c r="A37" s="4">
        <v>3</v>
      </c>
      <c r="B37" s="6">
        <v>375</v>
      </c>
    </row>
    <row r="38" spans="1:10" x14ac:dyDescent="0.3">
      <c r="A38" s="4">
        <v>4</v>
      </c>
      <c r="B38" s="6">
        <v>246</v>
      </c>
    </row>
    <row r="39" spans="1:10" x14ac:dyDescent="0.3">
      <c r="A39" s="4">
        <v>5</v>
      </c>
      <c r="B39" s="6">
        <v>195</v>
      </c>
    </row>
    <row r="40" spans="1:10" x14ac:dyDescent="0.3">
      <c r="A40" s="4" t="s">
        <v>2520</v>
      </c>
      <c r="B40" s="6">
        <v>414</v>
      </c>
    </row>
    <row r="41" spans="1:10" x14ac:dyDescent="0.3">
      <c r="A41" s="4" t="s">
        <v>2521</v>
      </c>
      <c r="B41" s="6">
        <v>233</v>
      </c>
    </row>
    <row r="42" spans="1:10" x14ac:dyDescent="0.3">
      <c r="A42" s="4" t="s">
        <v>2513</v>
      </c>
      <c r="B42" s="6">
        <v>2400</v>
      </c>
    </row>
    <row r="47" spans="1:10" x14ac:dyDescent="0.3">
      <c r="I47" s="3" t="s">
        <v>2512</v>
      </c>
      <c r="J47" t="s">
        <v>2505</v>
      </c>
    </row>
    <row r="48" spans="1:10" x14ac:dyDescent="0.3">
      <c r="I48" s="4" t="s">
        <v>2516</v>
      </c>
      <c r="J48" s="6">
        <v>6272</v>
      </c>
    </row>
    <row r="49" spans="1:10" x14ac:dyDescent="0.3">
      <c r="I49" s="4" t="s">
        <v>2517</v>
      </c>
      <c r="J49" s="6">
        <v>4672</v>
      </c>
    </row>
    <row r="50" spans="1:10" x14ac:dyDescent="0.3">
      <c r="A50" s="3" t="s">
        <v>2505</v>
      </c>
      <c r="B50" s="3" t="s">
        <v>2514</v>
      </c>
      <c r="I50" s="4" t="s">
        <v>2518</v>
      </c>
      <c r="J50" s="6">
        <v>317</v>
      </c>
    </row>
    <row r="51" spans="1:10" x14ac:dyDescent="0.3">
      <c r="A51" s="3" t="s">
        <v>2512</v>
      </c>
      <c r="B51" t="s">
        <v>2516</v>
      </c>
      <c r="C51" t="s">
        <v>2517</v>
      </c>
      <c r="D51" t="s">
        <v>2518</v>
      </c>
      <c r="E51" t="s">
        <v>2519</v>
      </c>
      <c r="F51" t="s">
        <v>2513</v>
      </c>
      <c r="I51" s="4" t="s">
        <v>2519</v>
      </c>
      <c r="J51" s="6">
        <v>736</v>
      </c>
    </row>
    <row r="52" spans="1:10" x14ac:dyDescent="0.3">
      <c r="A52" s="4" t="s">
        <v>44</v>
      </c>
      <c r="B52" s="6">
        <v>744</v>
      </c>
      <c r="C52" s="6">
        <v>713</v>
      </c>
      <c r="D52" s="6">
        <v>90</v>
      </c>
      <c r="E52" s="6">
        <v>98</v>
      </c>
      <c r="F52" s="6">
        <v>1645</v>
      </c>
      <c r="I52" s="4" t="s">
        <v>2513</v>
      </c>
      <c r="J52" s="6">
        <v>11997</v>
      </c>
    </row>
    <row r="53" spans="1:10" x14ac:dyDescent="0.3">
      <c r="A53" s="4" t="s">
        <v>39</v>
      </c>
      <c r="B53" s="6">
        <v>716</v>
      </c>
      <c r="C53" s="6">
        <v>598</v>
      </c>
      <c r="D53" s="6">
        <v>18</v>
      </c>
      <c r="E53" s="6">
        <v>214</v>
      </c>
      <c r="F53" s="6">
        <v>1546</v>
      </c>
    </row>
    <row r="54" spans="1:10" x14ac:dyDescent="0.3">
      <c r="A54" s="4" t="s">
        <v>26</v>
      </c>
      <c r="B54" s="6">
        <v>627</v>
      </c>
      <c r="C54" s="6">
        <v>393</v>
      </c>
      <c r="D54" s="6">
        <v>29</v>
      </c>
      <c r="E54" s="6">
        <v>137</v>
      </c>
      <c r="F54" s="6">
        <v>1186</v>
      </c>
    </row>
    <row r="55" spans="1:10" x14ac:dyDescent="0.3">
      <c r="A55" s="4" t="s">
        <v>22</v>
      </c>
      <c r="B55" s="6">
        <v>568</v>
      </c>
      <c r="C55" s="6">
        <v>306</v>
      </c>
      <c r="D55" s="6">
        <v>22</v>
      </c>
      <c r="E55" s="6">
        <v>16</v>
      </c>
      <c r="F55" s="6">
        <v>912</v>
      </c>
    </row>
    <row r="56" spans="1:10" x14ac:dyDescent="0.3">
      <c r="A56" s="4" t="s">
        <v>54</v>
      </c>
      <c r="B56" s="6">
        <v>482</v>
      </c>
      <c r="C56" s="6">
        <v>295</v>
      </c>
      <c r="D56" s="6">
        <v>8</v>
      </c>
      <c r="E56" s="6">
        <v>22</v>
      </c>
      <c r="F56" s="6">
        <v>807</v>
      </c>
    </row>
    <row r="57" spans="1:10" x14ac:dyDescent="0.3">
      <c r="A57" s="4" t="s">
        <v>16</v>
      </c>
      <c r="B57" s="6">
        <v>428</v>
      </c>
      <c r="C57" s="6">
        <v>293</v>
      </c>
      <c r="D57" s="6"/>
      <c r="E57" s="6">
        <v>24</v>
      </c>
      <c r="F57" s="6">
        <v>745</v>
      </c>
    </row>
    <row r="58" spans="1:10" x14ac:dyDescent="0.3">
      <c r="A58" s="4" t="s">
        <v>46</v>
      </c>
      <c r="B58" s="6">
        <v>445</v>
      </c>
      <c r="C58" s="6">
        <v>202</v>
      </c>
      <c r="D58" s="6">
        <v>14</v>
      </c>
      <c r="E58" s="6">
        <v>39</v>
      </c>
      <c r="F58" s="6">
        <v>700</v>
      </c>
    </row>
    <row r="59" spans="1:10" x14ac:dyDescent="0.3">
      <c r="A59" s="4" t="s">
        <v>32</v>
      </c>
      <c r="B59" s="6">
        <v>431</v>
      </c>
      <c r="C59" s="6">
        <v>187</v>
      </c>
      <c r="D59" s="6">
        <v>14</v>
      </c>
      <c r="E59" s="6">
        <v>15</v>
      </c>
      <c r="F59" s="6">
        <v>647</v>
      </c>
    </row>
    <row r="60" spans="1:10" x14ac:dyDescent="0.3">
      <c r="A60" s="4" t="s">
        <v>42</v>
      </c>
      <c r="B60" s="6">
        <v>264</v>
      </c>
      <c r="C60" s="6">
        <v>318</v>
      </c>
      <c r="D60" s="6">
        <v>15</v>
      </c>
      <c r="E60" s="6">
        <v>9</v>
      </c>
      <c r="F60" s="6">
        <v>606</v>
      </c>
    </row>
    <row r="61" spans="1:10" x14ac:dyDescent="0.3">
      <c r="A61" s="4" t="s">
        <v>37</v>
      </c>
      <c r="B61" s="6">
        <v>296</v>
      </c>
      <c r="C61" s="6">
        <v>275</v>
      </c>
      <c r="D61" s="6">
        <v>9</v>
      </c>
      <c r="E61" s="6">
        <v>23</v>
      </c>
      <c r="F61" s="6">
        <v>603</v>
      </c>
    </row>
    <row r="62" spans="1:10" x14ac:dyDescent="0.3">
      <c r="A62" s="4" t="s">
        <v>123</v>
      </c>
      <c r="B62" s="6">
        <v>153</v>
      </c>
      <c r="C62" s="6">
        <v>246</v>
      </c>
      <c r="D62" s="6">
        <v>30</v>
      </c>
      <c r="E62" s="6">
        <v>8</v>
      </c>
      <c r="F62" s="6">
        <v>437</v>
      </c>
    </row>
    <row r="63" spans="1:10" x14ac:dyDescent="0.3">
      <c r="A63" s="4" t="s">
        <v>146</v>
      </c>
      <c r="B63" s="6">
        <v>189</v>
      </c>
      <c r="C63" s="6">
        <v>168</v>
      </c>
      <c r="D63" s="6">
        <v>10</v>
      </c>
      <c r="E63" s="6">
        <v>31</v>
      </c>
      <c r="F63" s="6">
        <v>398</v>
      </c>
    </row>
    <row r="64" spans="1:10" x14ac:dyDescent="0.3">
      <c r="A64" s="4" t="s">
        <v>69</v>
      </c>
      <c r="B64" s="6">
        <v>234</v>
      </c>
      <c r="C64" s="6">
        <v>93</v>
      </c>
      <c r="D64" s="6">
        <v>19</v>
      </c>
      <c r="E64" s="6">
        <v>24</v>
      </c>
      <c r="F64" s="6">
        <v>370</v>
      </c>
    </row>
    <row r="65" spans="1:13" x14ac:dyDescent="0.3">
      <c r="A65" s="4" t="s">
        <v>30</v>
      </c>
      <c r="B65" s="6">
        <v>146</v>
      </c>
      <c r="C65" s="6">
        <v>94</v>
      </c>
      <c r="D65" s="6">
        <v>4</v>
      </c>
      <c r="E65" s="6">
        <v>28</v>
      </c>
      <c r="F65" s="6">
        <v>272</v>
      </c>
    </row>
    <row r="66" spans="1:13" x14ac:dyDescent="0.3">
      <c r="A66" s="4" t="s">
        <v>135</v>
      </c>
      <c r="B66" s="6">
        <v>127</v>
      </c>
      <c r="C66" s="6">
        <v>118</v>
      </c>
      <c r="D66" s="6">
        <v>13</v>
      </c>
      <c r="E66" s="6">
        <v>12</v>
      </c>
      <c r="F66" s="6">
        <v>270</v>
      </c>
    </row>
    <row r="67" spans="1:13" x14ac:dyDescent="0.3">
      <c r="A67" s="4" t="s">
        <v>67</v>
      </c>
      <c r="B67" s="6">
        <v>179</v>
      </c>
      <c r="C67" s="6">
        <v>76</v>
      </c>
      <c r="D67" s="6">
        <v>3</v>
      </c>
      <c r="E67" s="6"/>
      <c r="F67" s="6">
        <v>258</v>
      </c>
    </row>
    <row r="68" spans="1:13" x14ac:dyDescent="0.3">
      <c r="A68" s="4" t="s">
        <v>128</v>
      </c>
      <c r="B68" s="6">
        <v>99</v>
      </c>
      <c r="C68" s="6">
        <v>69</v>
      </c>
      <c r="D68" s="6">
        <v>3</v>
      </c>
      <c r="E68" s="6">
        <v>24</v>
      </c>
      <c r="F68" s="6">
        <v>195</v>
      </c>
    </row>
    <row r="69" spans="1:13" x14ac:dyDescent="0.3">
      <c r="A69" s="4" t="s">
        <v>76</v>
      </c>
      <c r="B69" s="6">
        <v>75</v>
      </c>
      <c r="C69" s="6">
        <v>103</v>
      </c>
      <c r="D69" s="6">
        <v>4</v>
      </c>
      <c r="E69" s="6">
        <v>6</v>
      </c>
      <c r="F69" s="6">
        <v>188</v>
      </c>
    </row>
    <row r="70" spans="1:13" x14ac:dyDescent="0.3">
      <c r="A70" s="4" t="s">
        <v>81</v>
      </c>
      <c r="B70" s="6">
        <v>43</v>
      </c>
      <c r="C70" s="6">
        <v>90</v>
      </c>
      <c r="D70" s="6">
        <v>8</v>
      </c>
      <c r="E70" s="6">
        <v>6</v>
      </c>
      <c r="F70" s="6">
        <v>147</v>
      </c>
    </row>
    <row r="71" spans="1:13" x14ac:dyDescent="0.3">
      <c r="A71" s="4" t="s">
        <v>171</v>
      </c>
      <c r="B71" s="6">
        <v>26</v>
      </c>
      <c r="C71" s="6">
        <v>35</v>
      </c>
      <c r="D71" s="6">
        <v>4</v>
      </c>
      <c r="E71" s="6"/>
      <c r="F71" s="6">
        <v>65</v>
      </c>
    </row>
    <row r="72" spans="1:13" x14ac:dyDescent="0.3">
      <c r="A72" s="4" t="s">
        <v>2513</v>
      </c>
      <c r="B72" s="6">
        <v>6272</v>
      </c>
      <c r="C72" s="6">
        <v>4672</v>
      </c>
      <c r="D72" s="6">
        <v>317</v>
      </c>
      <c r="E72" s="6">
        <v>736</v>
      </c>
      <c r="F72" s="6">
        <v>11997</v>
      </c>
    </row>
    <row r="78" spans="1:13" x14ac:dyDescent="0.3">
      <c r="G78" t="s">
        <v>2522</v>
      </c>
      <c r="K78" t="s">
        <v>2523</v>
      </c>
    </row>
    <row r="80" spans="1:13" x14ac:dyDescent="0.3">
      <c r="A80" s="3" t="s">
        <v>10</v>
      </c>
      <c r="B80" s="3" t="s">
        <v>11</v>
      </c>
      <c r="C80" t="s">
        <v>2505</v>
      </c>
      <c r="D80" t="s">
        <v>2506</v>
      </c>
      <c r="G80" t="str">
        <f>A80</f>
        <v>State</v>
      </c>
      <c r="H80" t="str">
        <f t="shared" ref="H80:I80" si="1">B80</f>
        <v>County</v>
      </c>
      <c r="I80" t="s">
        <v>2</v>
      </c>
      <c r="K80" t="s">
        <v>10</v>
      </c>
      <c r="L80" t="s">
        <v>11</v>
      </c>
      <c r="M80" t="s">
        <v>4</v>
      </c>
    </row>
    <row r="81" spans="1:14" x14ac:dyDescent="0.3">
      <c r="A81" t="s">
        <v>19</v>
      </c>
      <c r="B81" t="s">
        <v>115</v>
      </c>
      <c r="C81" s="6">
        <v>579</v>
      </c>
      <c r="D81" s="6">
        <v>31884.999999999996</v>
      </c>
      <c r="G81" t="str">
        <f>IF(A81="","",A81)</f>
        <v>California</v>
      </c>
      <c r="H81" t="str">
        <f>IF(B81="","",B81)</f>
        <v>Alameda County</v>
      </c>
      <c r="I81">
        <f>IF(C81="","",C81)</f>
        <v>579</v>
      </c>
      <c r="K81" t="str">
        <f>IF(A81="","",A81)</f>
        <v>California</v>
      </c>
      <c r="L81" t="str">
        <f t="shared" ref="L81:M96" si="2">IF(B81="","",B81)</f>
        <v>Alameda County</v>
      </c>
      <c r="M81">
        <f>IF(D81="","",D81)</f>
        <v>31884.999999999996</v>
      </c>
      <c r="N81" s="6"/>
    </row>
    <row r="82" spans="1:14" x14ac:dyDescent="0.3">
      <c r="A82" t="s">
        <v>19</v>
      </c>
      <c r="B82" t="s">
        <v>20</v>
      </c>
      <c r="C82" s="6">
        <v>1</v>
      </c>
      <c r="D82" s="6">
        <v>10.9</v>
      </c>
      <c r="G82" t="str">
        <f t="shared" ref="G82:G138" si="3">IF(A82="","",A82)</f>
        <v>California</v>
      </c>
      <c r="H82" t="str">
        <f t="shared" ref="H82:H138" si="4">IF(B82="","",B82)</f>
        <v>Alpine County</v>
      </c>
      <c r="I82">
        <f t="shared" ref="I82:I138" si="5">IF(C82="","",C82)</f>
        <v>1</v>
      </c>
      <c r="K82" t="str">
        <f t="shared" ref="K82:M138" si="6">IF(A82="","",A82)</f>
        <v>California</v>
      </c>
      <c r="L82" t="str">
        <f t="shared" si="2"/>
        <v>Alpine County</v>
      </c>
      <c r="M82">
        <f t="shared" ref="M82:M130" si="7">IF(D82="","",D82)</f>
        <v>10.9</v>
      </c>
      <c r="N82" s="6"/>
    </row>
    <row r="83" spans="1:14" x14ac:dyDescent="0.3">
      <c r="A83" t="s">
        <v>19</v>
      </c>
      <c r="B83" t="s">
        <v>641</v>
      </c>
      <c r="C83" s="6">
        <v>9</v>
      </c>
      <c r="D83" s="6">
        <v>800.3</v>
      </c>
      <c r="G83" t="str">
        <f t="shared" si="3"/>
        <v>California</v>
      </c>
      <c r="H83" t="str">
        <f t="shared" si="4"/>
        <v>Amador County</v>
      </c>
      <c r="I83">
        <f t="shared" si="5"/>
        <v>9</v>
      </c>
      <c r="K83" t="str">
        <f t="shared" si="6"/>
        <v>California</v>
      </c>
      <c r="L83" t="str">
        <f t="shared" si="2"/>
        <v>Amador County</v>
      </c>
      <c r="M83">
        <f t="shared" si="7"/>
        <v>800.3</v>
      </c>
      <c r="N83" s="6"/>
    </row>
    <row r="84" spans="1:14" x14ac:dyDescent="0.3">
      <c r="A84" t="s">
        <v>19</v>
      </c>
      <c r="B84" t="s">
        <v>967</v>
      </c>
      <c r="C84" s="6">
        <v>35</v>
      </c>
      <c r="D84" s="6">
        <v>1062.5999999999999</v>
      </c>
      <c r="G84" t="str">
        <f t="shared" si="3"/>
        <v>California</v>
      </c>
      <c r="H84" t="str">
        <f t="shared" si="4"/>
        <v>Butte County</v>
      </c>
      <c r="I84">
        <f t="shared" si="5"/>
        <v>35</v>
      </c>
      <c r="K84" t="str">
        <f t="shared" si="6"/>
        <v>California</v>
      </c>
      <c r="L84" t="str">
        <f t="shared" si="2"/>
        <v>Butte County</v>
      </c>
      <c r="M84">
        <f t="shared" si="7"/>
        <v>1062.5999999999999</v>
      </c>
      <c r="N84" s="6"/>
    </row>
    <row r="85" spans="1:14" x14ac:dyDescent="0.3">
      <c r="A85" t="s">
        <v>19</v>
      </c>
      <c r="B85" t="s">
        <v>84</v>
      </c>
      <c r="C85" s="6">
        <v>12</v>
      </c>
      <c r="D85" s="6">
        <v>326.20000000000005</v>
      </c>
      <c r="G85" t="str">
        <f t="shared" si="3"/>
        <v>California</v>
      </c>
      <c r="H85" t="str">
        <f t="shared" si="4"/>
        <v>Calaveras County</v>
      </c>
      <c r="I85">
        <f t="shared" si="5"/>
        <v>12</v>
      </c>
      <c r="K85" t="str">
        <f t="shared" si="6"/>
        <v>California</v>
      </c>
      <c r="L85" t="str">
        <f t="shared" si="2"/>
        <v>Calaveras County</v>
      </c>
      <c r="M85">
        <f t="shared" si="7"/>
        <v>326.20000000000005</v>
      </c>
      <c r="N85" s="6"/>
    </row>
    <row r="86" spans="1:14" x14ac:dyDescent="0.3">
      <c r="A86" t="s">
        <v>19</v>
      </c>
      <c r="B86" t="s">
        <v>1383</v>
      </c>
      <c r="C86" s="6">
        <v>4</v>
      </c>
      <c r="D86" s="6">
        <v>167.5</v>
      </c>
      <c r="G86" t="str">
        <f t="shared" si="3"/>
        <v>California</v>
      </c>
      <c r="H86" t="str">
        <f t="shared" si="4"/>
        <v>Colusa County</v>
      </c>
      <c r="I86">
        <f t="shared" si="5"/>
        <v>4</v>
      </c>
      <c r="K86" t="str">
        <f t="shared" si="6"/>
        <v>California</v>
      </c>
      <c r="L86" t="str">
        <f t="shared" si="2"/>
        <v>Colusa County</v>
      </c>
      <c r="M86">
        <f t="shared" si="7"/>
        <v>167.5</v>
      </c>
      <c r="N86" s="6"/>
    </row>
    <row r="87" spans="1:14" x14ac:dyDescent="0.3">
      <c r="A87" t="s">
        <v>19</v>
      </c>
      <c r="B87" t="s">
        <v>24</v>
      </c>
      <c r="C87" s="6">
        <v>341</v>
      </c>
      <c r="D87" s="6">
        <v>16168.7</v>
      </c>
      <c r="G87" t="str">
        <f t="shared" si="3"/>
        <v>California</v>
      </c>
      <c r="H87" t="str">
        <f t="shared" si="4"/>
        <v>Contra Costa County</v>
      </c>
      <c r="I87">
        <f t="shared" si="5"/>
        <v>341</v>
      </c>
      <c r="K87" t="str">
        <f t="shared" si="6"/>
        <v>California</v>
      </c>
      <c r="L87" t="str">
        <f t="shared" si="2"/>
        <v>Contra Costa County</v>
      </c>
      <c r="M87">
        <f t="shared" si="7"/>
        <v>16168.7</v>
      </c>
      <c r="N87" s="6"/>
    </row>
    <row r="88" spans="1:14" x14ac:dyDescent="0.3">
      <c r="A88" t="s">
        <v>19</v>
      </c>
      <c r="B88" t="s">
        <v>2204</v>
      </c>
      <c r="C88" s="6">
        <v>13</v>
      </c>
      <c r="D88" s="6">
        <v>322.40000000000003</v>
      </c>
      <c r="G88" t="str">
        <f t="shared" si="3"/>
        <v>California</v>
      </c>
      <c r="H88" t="str">
        <f t="shared" si="4"/>
        <v>Del Norte County</v>
      </c>
      <c r="I88">
        <f t="shared" si="5"/>
        <v>13</v>
      </c>
      <c r="K88" t="str">
        <f t="shared" si="6"/>
        <v>California</v>
      </c>
      <c r="L88" t="str">
        <f t="shared" si="2"/>
        <v>Del Norte County</v>
      </c>
      <c r="M88">
        <f t="shared" si="7"/>
        <v>322.40000000000003</v>
      </c>
      <c r="N88" s="6"/>
    </row>
    <row r="89" spans="1:14" x14ac:dyDescent="0.3">
      <c r="A89" t="s">
        <v>19</v>
      </c>
      <c r="B89" t="s">
        <v>437</v>
      </c>
      <c r="C89" s="6">
        <v>31</v>
      </c>
      <c r="D89" s="6">
        <v>2092.8000000000002</v>
      </c>
      <c r="G89" t="str">
        <f t="shared" si="3"/>
        <v>California</v>
      </c>
      <c r="H89" t="str">
        <f t="shared" si="4"/>
        <v>El Dorado County</v>
      </c>
      <c r="I89">
        <f t="shared" si="5"/>
        <v>31</v>
      </c>
      <c r="K89" t="str">
        <f t="shared" si="6"/>
        <v>California</v>
      </c>
      <c r="L89" t="str">
        <f t="shared" si="2"/>
        <v>El Dorado County</v>
      </c>
      <c r="M89">
        <f t="shared" si="7"/>
        <v>2092.8000000000002</v>
      </c>
      <c r="N89" s="6"/>
    </row>
    <row r="90" spans="1:14" x14ac:dyDescent="0.3">
      <c r="A90" t="s">
        <v>19</v>
      </c>
      <c r="B90" t="s">
        <v>28</v>
      </c>
      <c r="C90" s="6">
        <v>279</v>
      </c>
      <c r="D90" s="6">
        <v>12662.500000000002</v>
      </c>
      <c r="G90" t="str">
        <f t="shared" si="3"/>
        <v>California</v>
      </c>
      <c r="H90" t="str">
        <f t="shared" si="4"/>
        <v>Fresno County</v>
      </c>
      <c r="I90">
        <f t="shared" si="5"/>
        <v>279</v>
      </c>
      <c r="K90" t="str">
        <f t="shared" si="6"/>
        <v>California</v>
      </c>
      <c r="L90" t="str">
        <f t="shared" si="2"/>
        <v>Fresno County</v>
      </c>
      <c r="M90">
        <f t="shared" si="7"/>
        <v>12662.500000000002</v>
      </c>
      <c r="N90" s="6"/>
    </row>
    <row r="91" spans="1:14" x14ac:dyDescent="0.3">
      <c r="A91" t="s">
        <v>19</v>
      </c>
      <c r="B91" t="s">
        <v>208</v>
      </c>
      <c r="C91" s="6">
        <v>9</v>
      </c>
      <c r="D91" s="6">
        <v>343.2</v>
      </c>
      <c r="G91" t="str">
        <f t="shared" si="3"/>
        <v>California</v>
      </c>
      <c r="H91" t="str">
        <f t="shared" si="4"/>
        <v>Glenn County</v>
      </c>
      <c r="I91">
        <f t="shared" si="5"/>
        <v>9</v>
      </c>
      <c r="K91" t="str">
        <f t="shared" si="6"/>
        <v>California</v>
      </c>
      <c r="L91" t="str">
        <f t="shared" si="2"/>
        <v>Glenn County</v>
      </c>
      <c r="M91">
        <f t="shared" si="7"/>
        <v>343.2</v>
      </c>
      <c r="N91" s="6"/>
    </row>
    <row r="92" spans="1:14" x14ac:dyDescent="0.3">
      <c r="A92" t="s">
        <v>19</v>
      </c>
      <c r="B92" t="s">
        <v>587</v>
      </c>
      <c r="C92" s="6">
        <v>49</v>
      </c>
      <c r="D92" s="6">
        <v>2188.2999999999997</v>
      </c>
      <c r="G92" t="str">
        <f t="shared" si="3"/>
        <v>California</v>
      </c>
      <c r="H92" t="str">
        <f t="shared" si="4"/>
        <v>Humboldt County</v>
      </c>
      <c r="I92">
        <f t="shared" si="5"/>
        <v>49</v>
      </c>
      <c r="K92" t="str">
        <f t="shared" si="6"/>
        <v>California</v>
      </c>
      <c r="L92" t="str">
        <f t="shared" si="2"/>
        <v>Humboldt County</v>
      </c>
      <c r="M92">
        <f t="shared" si="7"/>
        <v>2188.2999999999997</v>
      </c>
      <c r="N92" s="6"/>
    </row>
    <row r="93" spans="1:14" x14ac:dyDescent="0.3">
      <c r="A93" t="s">
        <v>19</v>
      </c>
      <c r="B93" t="s">
        <v>331</v>
      </c>
      <c r="C93" s="6">
        <v>59</v>
      </c>
      <c r="D93" s="6">
        <v>2661.5999999999995</v>
      </c>
      <c r="G93" t="str">
        <f t="shared" si="3"/>
        <v>California</v>
      </c>
      <c r="H93" t="str">
        <f t="shared" si="4"/>
        <v>Imperial County</v>
      </c>
      <c r="I93">
        <f t="shared" si="5"/>
        <v>59</v>
      </c>
      <c r="K93" t="str">
        <f t="shared" si="6"/>
        <v>California</v>
      </c>
      <c r="L93" t="str">
        <f t="shared" si="2"/>
        <v>Imperial County</v>
      </c>
      <c r="M93">
        <f t="shared" si="7"/>
        <v>2661.5999999999995</v>
      </c>
      <c r="N93" s="6"/>
    </row>
    <row r="94" spans="1:14" x14ac:dyDescent="0.3">
      <c r="A94" t="s">
        <v>19</v>
      </c>
      <c r="B94" t="s">
        <v>86</v>
      </c>
      <c r="C94" s="6">
        <v>8</v>
      </c>
      <c r="D94" s="6">
        <v>887.5</v>
      </c>
      <c r="G94" t="str">
        <f t="shared" si="3"/>
        <v>California</v>
      </c>
      <c r="H94" t="str">
        <f t="shared" si="4"/>
        <v>Inyo County</v>
      </c>
      <c r="I94">
        <f t="shared" si="5"/>
        <v>8</v>
      </c>
      <c r="K94" t="str">
        <f t="shared" si="6"/>
        <v>California</v>
      </c>
      <c r="L94" t="str">
        <f t="shared" si="2"/>
        <v>Inyo County</v>
      </c>
      <c r="M94">
        <f t="shared" si="7"/>
        <v>887.5</v>
      </c>
      <c r="N94" s="6"/>
    </row>
    <row r="95" spans="1:14" x14ac:dyDescent="0.3">
      <c r="A95" t="s">
        <v>19</v>
      </c>
      <c r="B95" t="s">
        <v>147</v>
      </c>
      <c r="C95" s="6">
        <v>222</v>
      </c>
      <c r="D95" s="6">
        <v>11354.199999999993</v>
      </c>
      <c r="G95" t="str">
        <f t="shared" si="3"/>
        <v>California</v>
      </c>
      <c r="H95" t="str">
        <f t="shared" si="4"/>
        <v>Kern County</v>
      </c>
      <c r="I95">
        <f t="shared" si="5"/>
        <v>222</v>
      </c>
      <c r="K95" t="str">
        <f t="shared" si="6"/>
        <v>California</v>
      </c>
      <c r="L95" t="str">
        <f t="shared" si="2"/>
        <v>Kern County</v>
      </c>
      <c r="M95">
        <f t="shared" si="7"/>
        <v>11354.199999999993</v>
      </c>
      <c r="N95" s="6"/>
    </row>
    <row r="96" spans="1:14" x14ac:dyDescent="0.3">
      <c r="A96" t="s">
        <v>19</v>
      </c>
      <c r="B96" t="s">
        <v>334</v>
      </c>
      <c r="C96" s="6">
        <v>36</v>
      </c>
      <c r="D96" s="6">
        <v>1558.4</v>
      </c>
      <c r="G96" t="str">
        <f t="shared" si="3"/>
        <v>California</v>
      </c>
      <c r="H96" t="str">
        <f t="shared" si="4"/>
        <v>Kings County</v>
      </c>
      <c r="I96">
        <f t="shared" si="5"/>
        <v>36</v>
      </c>
      <c r="K96" t="str">
        <f t="shared" si="6"/>
        <v>California</v>
      </c>
      <c r="L96" t="str">
        <f t="shared" si="2"/>
        <v>Kings County</v>
      </c>
      <c r="M96">
        <f t="shared" si="7"/>
        <v>1558.4</v>
      </c>
      <c r="N96" s="6"/>
    </row>
    <row r="97" spans="1:14" x14ac:dyDescent="0.3">
      <c r="A97" t="s">
        <v>19</v>
      </c>
      <c r="B97" t="s">
        <v>949</v>
      </c>
      <c r="C97" s="6">
        <v>30</v>
      </c>
      <c r="D97" s="6">
        <v>2223.9</v>
      </c>
      <c r="G97" t="str">
        <f t="shared" si="3"/>
        <v>California</v>
      </c>
      <c r="H97" t="str">
        <f t="shared" si="4"/>
        <v>Lake County</v>
      </c>
      <c r="I97">
        <f t="shared" si="5"/>
        <v>30</v>
      </c>
      <c r="K97" t="str">
        <f t="shared" si="6"/>
        <v>California</v>
      </c>
      <c r="L97" t="str">
        <f t="shared" si="6"/>
        <v>Lake County</v>
      </c>
      <c r="M97">
        <f t="shared" si="7"/>
        <v>2223.9</v>
      </c>
      <c r="N97" s="6"/>
    </row>
    <row r="98" spans="1:14" x14ac:dyDescent="0.3">
      <c r="A98" t="s">
        <v>19</v>
      </c>
      <c r="B98" t="s">
        <v>1426</v>
      </c>
      <c r="C98" s="6">
        <v>1</v>
      </c>
      <c r="D98" s="6">
        <v>26.2</v>
      </c>
      <c r="G98" t="str">
        <f t="shared" si="3"/>
        <v>California</v>
      </c>
      <c r="H98" t="str">
        <f t="shared" si="4"/>
        <v>Lassen County</v>
      </c>
      <c r="I98">
        <f t="shared" si="5"/>
        <v>1</v>
      </c>
      <c r="K98" t="str">
        <f t="shared" si="6"/>
        <v>California</v>
      </c>
      <c r="L98" t="str">
        <f t="shared" si="6"/>
        <v>Lassen County</v>
      </c>
      <c r="M98">
        <f t="shared" si="7"/>
        <v>26.2</v>
      </c>
      <c r="N98" s="6"/>
    </row>
    <row r="99" spans="1:14" x14ac:dyDescent="0.3">
      <c r="A99" t="s">
        <v>19</v>
      </c>
      <c r="B99" t="s">
        <v>33</v>
      </c>
      <c r="C99" s="6">
        <v>3991</v>
      </c>
      <c r="D99" s="6">
        <v>215551.19999999981</v>
      </c>
      <c r="G99" t="str">
        <f t="shared" si="3"/>
        <v>California</v>
      </c>
      <c r="H99" t="str">
        <f t="shared" si="4"/>
        <v>Los Angeles County</v>
      </c>
      <c r="I99">
        <f t="shared" si="5"/>
        <v>3991</v>
      </c>
      <c r="K99" t="str">
        <f t="shared" si="6"/>
        <v>California</v>
      </c>
      <c r="L99" t="str">
        <f t="shared" si="6"/>
        <v>Los Angeles County</v>
      </c>
      <c r="M99">
        <f t="shared" si="7"/>
        <v>215551.19999999981</v>
      </c>
      <c r="N99" s="6"/>
    </row>
    <row r="100" spans="1:14" x14ac:dyDescent="0.3">
      <c r="A100" t="s">
        <v>19</v>
      </c>
      <c r="B100" t="s">
        <v>364</v>
      </c>
      <c r="C100" s="6">
        <v>45</v>
      </c>
      <c r="D100" s="6">
        <v>2687.3999999999996</v>
      </c>
      <c r="G100" t="str">
        <f t="shared" si="3"/>
        <v>California</v>
      </c>
      <c r="H100" t="str">
        <f t="shared" si="4"/>
        <v>Madera County</v>
      </c>
      <c r="I100">
        <f t="shared" si="5"/>
        <v>45</v>
      </c>
      <c r="K100" t="str">
        <f t="shared" si="6"/>
        <v>California</v>
      </c>
      <c r="L100" t="str">
        <f t="shared" si="6"/>
        <v>Madera County</v>
      </c>
      <c r="M100">
        <f t="shared" si="7"/>
        <v>2687.3999999999996</v>
      </c>
      <c r="N100" s="6"/>
    </row>
    <row r="101" spans="1:14" x14ac:dyDescent="0.3">
      <c r="A101" t="s">
        <v>19</v>
      </c>
      <c r="B101" t="s">
        <v>545</v>
      </c>
      <c r="C101" s="6">
        <v>39</v>
      </c>
      <c r="D101" s="6">
        <v>1463.3000000000002</v>
      </c>
      <c r="G101" t="str">
        <f t="shared" si="3"/>
        <v>California</v>
      </c>
      <c r="H101" t="str">
        <f t="shared" si="4"/>
        <v>Marin County</v>
      </c>
      <c r="I101">
        <f t="shared" si="5"/>
        <v>39</v>
      </c>
      <c r="K101" t="str">
        <f t="shared" si="6"/>
        <v>California</v>
      </c>
      <c r="L101" t="str">
        <f t="shared" si="6"/>
        <v>Marin County</v>
      </c>
      <c r="M101">
        <f t="shared" si="7"/>
        <v>1463.3000000000002</v>
      </c>
      <c r="N101" s="6"/>
    </row>
    <row r="102" spans="1:14" x14ac:dyDescent="0.3">
      <c r="A102" t="s">
        <v>19</v>
      </c>
      <c r="B102" t="s">
        <v>416</v>
      </c>
      <c r="C102" s="6">
        <v>6</v>
      </c>
      <c r="D102" s="6">
        <v>445.79999999999995</v>
      </c>
      <c r="G102" t="str">
        <f t="shared" si="3"/>
        <v>California</v>
      </c>
      <c r="H102" t="str">
        <f t="shared" si="4"/>
        <v>Mariposa County</v>
      </c>
      <c r="I102">
        <f t="shared" si="5"/>
        <v>6</v>
      </c>
      <c r="K102" t="str">
        <f t="shared" si="6"/>
        <v>California</v>
      </c>
      <c r="L102" t="str">
        <f t="shared" si="6"/>
        <v>Mariposa County</v>
      </c>
      <c r="M102">
        <f t="shared" si="7"/>
        <v>445.79999999999995</v>
      </c>
      <c r="N102" s="6"/>
    </row>
    <row r="103" spans="1:14" x14ac:dyDescent="0.3">
      <c r="A103" t="s">
        <v>19</v>
      </c>
      <c r="B103" t="s">
        <v>258</v>
      </c>
      <c r="C103" s="6">
        <v>9</v>
      </c>
      <c r="D103" s="6">
        <v>273.59999999999997</v>
      </c>
      <c r="G103" t="str">
        <f t="shared" si="3"/>
        <v>California</v>
      </c>
      <c r="H103" t="str">
        <f t="shared" si="4"/>
        <v>Mendocino County</v>
      </c>
      <c r="I103">
        <f t="shared" si="5"/>
        <v>9</v>
      </c>
      <c r="K103" t="str">
        <f t="shared" si="6"/>
        <v>California</v>
      </c>
      <c r="L103" t="str">
        <f t="shared" si="6"/>
        <v>Mendocino County</v>
      </c>
      <c r="M103">
        <f t="shared" si="7"/>
        <v>273.59999999999997</v>
      </c>
      <c r="N103" s="6"/>
    </row>
    <row r="104" spans="1:14" x14ac:dyDescent="0.3">
      <c r="A104" t="s">
        <v>19</v>
      </c>
      <c r="B104" t="s">
        <v>186</v>
      </c>
      <c r="C104" s="6">
        <v>60</v>
      </c>
      <c r="D104" s="6">
        <v>2690.4</v>
      </c>
      <c r="G104" t="str">
        <f t="shared" si="3"/>
        <v>California</v>
      </c>
      <c r="H104" t="str">
        <f t="shared" si="4"/>
        <v>Merced County</v>
      </c>
      <c r="I104">
        <f t="shared" si="5"/>
        <v>60</v>
      </c>
      <c r="K104" t="str">
        <f t="shared" si="6"/>
        <v>California</v>
      </c>
      <c r="L104" t="str">
        <f t="shared" si="6"/>
        <v>Merced County</v>
      </c>
      <c r="M104">
        <f t="shared" si="7"/>
        <v>2690.4</v>
      </c>
      <c r="N104" s="6"/>
    </row>
    <row r="105" spans="1:14" x14ac:dyDescent="0.3">
      <c r="A105" t="s">
        <v>19</v>
      </c>
      <c r="B105" t="s">
        <v>392</v>
      </c>
      <c r="C105" s="6">
        <v>2</v>
      </c>
      <c r="D105" s="6">
        <v>28.4</v>
      </c>
      <c r="G105" t="str">
        <f t="shared" si="3"/>
        <v>California</v>
      </c>
      <c r="H105" t="str">
        <f t="shared" si="4"/>
        <v>Modoc County</v>
      </c>
      <c r="I105">
        <f t="shared" si="5"/>
        <v>2</v>
      </c>
      <c r="K105" t="str">
        <f t="shared" si="6"/>
        <v>California</v>
      </c>
      <c r="L105" t="str">
        <f t="shared" si="6"/>
        <v>Modoc County</v>
      </c>
      <c r="M105">
        <f t="shared" si="7"/>
        <v>28.4</v>
      </c>
      <c r="N105" s="6"/>
    </row>
    <row r="106" spans="1:14" x14ac:dyDescent="0.3">
      <c r="A106" t="s">
        <v>19</v>
      </c>
      <c r="B106" t="s">
        <v>670</v>
      </c>
      <c r="C106" s="6">
        <v>4</v>
      </c>
      <c r="D106" s="6">
        <v>204.8</v>
      </c>
      <c r="G106" t="str">
        <f t="shared" si="3"/>
        <v>California</v>
      </c>
      <c r="H106" t="str">
        <f t="shared" si="4"/>
        <v>Mono County</v>
      </c>
      <c r="I106">
        <f t="shared" si="5"/>
        <v>4</v>
      </c>
      <c r="K106" t="str">
        <f t="shared" si="6"/>
        <v>California</v>
      </c>
      <c r="L106" t="str">
        <f t="shared" si="6"/>
        <v>Mono County</v>
      </c>
      <c r="M106">
        <f t="shared" si="7"/>
        <v>204.8</v>
      </c>
      <c r="N106" s="6"/>
    </row>
    <row r="107" spans="1:14" x14ac:dyDescent="0.3">
      <c r="A107" t="s">
        <v>19</v>
      </c>
      <c r="B107" t="s">
        <v>802</v>
      </c>
      <c r="C107" s="6">
        <v>31</v>
      </c>
      <c r="D107" s="6">
        <v>1607.8999999999999</v>
      </c>
      <c r="G107" t="str">
        <f t="shared" si="3"/>
        <v>California</v>
      </c>
      <c r="H107" t="str">
        <f t="shared" si="4"/>
        <v>Monterey County</v>
      </c>
      <c r="I107">
        <f t="shared" si="5"/>
        <v>31</v>
      </c>
      <c r="K107" t="str">
        <f t="shared" si="6"/>
        <v>California</v>
      </c>
      <c r="L107" t="str">
        <f t="shared" si="6"/>
        <v>Monterey County</v>
      </c>
      <c r="M107">
        <f t="shared" si="7"/>
        <v>1607.8999999999999</v>
      </c>
      <c r="N107" s="6"/>
    </row>
    <row r="108" spans="1:14" x14ac:dyDescent="0.3">
      <c r="A108" t="s">
        <v>19</v>
      </c>
      <c r="B108" t="s">
        <v>98</v>
      </c>
      <c r="C108" s="6">
        <v>88</v>
      </c>
      <c r="D108" s="6">
        <v>6444.9</v>
      </c>
      <c r="G108" t="str">
        <f t="shared" si="3"/>
        <v>California</v>
      </c>
      <c r="H108" t="str">
        <f t="shared" si="4"/>
        <v>Napa County</v>
      </c>
      <c r="I108">
        <f t="shared" si="5"/>
        <v>88</v>
      </c>
      <c r="K108" t="str">
        <f t="shared" si="6"/>
        <v>California</v>
      </c>
      <c r="L108" t="str">
        <f t="shared" si="6"/>
        <v>Napa County</v>
      </c>
      <c r="M108">
        <f t="shared" si="7"/>
        <v>6444.9</v>
      </c>
      <c r="N108" s="6"/>
    </row>
    <row r="109" spans="1:14" x14ac:dyDescent="0.3">
      <c r="A109" t="s">
        <v>19</v>
      </c>
      <c r="B109" t="s">
        <v>49</v>
      </c>
      <c r="C109" s="6">
        <v>25</v>
      </c>
      <c r="D109" s="6">
        <v>1809.3</v>
      </c>
      <c r="G109" t="str">
        <f t="shared" si="3"/>
        <v>California</v>
      </c>
      <c r="H109" t="str">
        <f t="shared" si="4"/>
        <v>Nevada County</v>
      </c>
      <c r="I109">
        <f t="shared" si="5"/>
        <v>25</v>
      </c>
      <c r="K109" t="str">
        <f t="shared" si="6"/>
        <v>California</v>
      </c>
      <c r="L109" t="str">
        <f t="shared" si="6"/>
        <v>Nevada County</v>
      </c>
      <c r="M109">
        <f t="shared" si="7"/>
        <v>1809.3</v>
      </c>
      <c r="N109" s="6"/>
    </row>
    <row r="110" spans="1:14" x14ac:dyDescent="0.3">
      <c r="A110" t="s">
        <v>19</v>
      </c>
      <c r="B110" t="s">
        <v>188</v>
      </c>
      <c r="C110" s="6">
        <v>178</v>
      </c>
      <c r="D110" s="6">
        <v>9680.399999999996</v>
      </c>
      <c r="G110" t="str">
        <f t="shared" si="3"/>
        <v>California</v>
      </c>
      <c r="H110" t="str">
        <f t="shared" si="4"/>
        <v>Orange County</v>
      </c>
      <c r="I110">
        <f t="shared" si="5"/>
        <v>178</v>
      </c>
      <c r="K110" t="str">
        <f t="shared" si="6"/>
        <v>California</v>
      </c>
      <c r="L110" t="str">
        <f t="shared" si="6"/>
        <v>Orange County</v>
      </c>
      <c r="M110">
        <f t="shared" si="7"/>
        <v>9680.399999999996</v>
      </c>
      <c r="N110" s="6"/>
    </row>
    <row r="111" spans="1:14" x14ac:dyDescent="0.3">
      <c r="A111" t="s">
        <v>19</v>
      </c>
      <c r="B111" t="s">
        <v>52</v>
      </c>
      <c r="C111" s="6">
        <v>141</v>
      </c>
      <c r="D111" s="6">
        <v>9414.7999999999993</v>
      </c>
      <c r="G111" t="str">
        <f t="shared" si="3"/>
        <v>California</v>
      </c>
      <c r="H111" t="str">
        <f t="shared" si="4"/>
        <v>Placer County</v>
      </c>
      <c r="I111">
        <f t="shared" si="5"/>
        <v>141</v>
      </c>
      <c r="K111" t="str">
        <f t="shared" si="6"/>
        <v>California</v>
      </c>
      <c r="L111" t="str">
        <f t="shared" si="6"/>
        <v>Placer County</v>
      </c>
      <c r="M111">
        <f t="shared" si="7"/>
        <v>9414.7999999999993</v>
      </c>
      <c r="N111" s="6"/>
    </row>
    <row r="112" spans="1:14" x14ac:dyDescent="0.3">
      <c r="A112" t="s">
        <v>19</v>
      </c>
      <c r="B112" t="s">
        <v>338</v>
      </c>
      <c r="C112" s="6">
        <v>6</v>
      </c>
      <c r="D112" s="6">
        <v>206.1</v>
      </c>
      <c r="G112" t="str">
        <f t="shared" si="3"/>
        <v>California</v>
      </c>
      <c r="H112" t="str">
        <f t="shared" si="4"/>
        <v>Plumas County</v>
      </c>
      <c r="I112">
        <f t="shared" si="5"/>
        <v>6</v>
      </c>
      <c r="K112" t="str">
        <f t="shared" si="6"/>
        <v>California</v>
      </c>
      <c r="L112" t="str">
        <f t="shared" si="6"/>
        <v>Plumas County</v>
      </c>
      <c r="M112">
        <f t="shared" si="7"/>
        <v>206.1</v>
      </c>
      <c r="N112" s="6"/>
    </row>
    <row r="113" spans="1:14" x14ac:dyDescent="0.3">
      <c r="A113" t="s">
        <v>19</v>
      </c>
      <c r="B113" t="s">
        <v>158</v>
      </c>
      <c r="C113" s="6">
        <v>178</v>
      </c>
      <c r="D113" s="6">
        <v>7691.3</v>
      </c>
      <c r="G113" t="str">
        <f t="shared" si="3"/>
        <v>California</v>
      </c>
      <c r="H113" t="str">
        <f t="shared" si="4"/>
        <v>Riverside County</v>
      </c>
      <c r="I113">
        <f t="shared" si="5"/>
        <v>178</v>
      </c>
      <c r="K113" t="str">
        <f t="shared" si="6"/>
        <v>California</v>
      </c>
      <c r="L113" t="str">
        <f t="shared" si="6"/>
        <v>Riverside County</v>
      </c>
      <c r="M113">
        <f t="shared" si="7"/>
        <v>7691.3</v>
      </c>
      <c r="N113" s="6"/>
    </row>
    <row r="114" spans="1:14" x14ac:dyDescent="0.3">
      <c r="A114" t="s">
        <v>19</v>
      </c>
      <c r="B114" t="s">
        <v>55</v>
      </c>
      <c r="C114" s="6">
        <v>699</v>
      </c>
      <c r="D114" s="6">
        <v>37784.900000000016</v>
      </c>
      <c r="G114" t="str">
        <f t="shared" si="3"/>
        <v>California</v>
      </c>
      <c r="H114" t="str">
        <f t="shared" si="4"/>
        <v>Sacramento County</v>
      </c>
      <c r="I114">
        <f t="shared" si="5"/>
        <v>699</v>
      </c>
      <c r="K114" t="str">
        <f t="shared" si="6"/>
        <v>California</v>
      </c>
      <c r="L114" t="str">
        <f t="shared" si="6"/>
        <v>Sacramento County</v>
      </c>
      <c r="M114">
        <f t="shared" si="7"/>
        <v>37784.900000000016</v>
      </c>
      <c r="N114" s="6"/>
    </row>
    <row r="115" spans="1:14" x14ac:dyDescent="0.3">
      <c r="A115" t="s">
        <v>19</v>
      </c>
      <c r="B115" t="s">
        <v>342</v>
      </c>
      <c r="C115" s="6">
        <v>23</v>
      </c>
      <c r="D115" s="6">
        <v>1129.7</v>
      </c>
      <c r="G115" t="str">
        <f>IF(A115="","",A115)</f>
        <v>California</v>
      </c>
      <c r="H115" t="str">
        <f t="shared" si="4"/>
        <v>San Benito County</v>
      </c>
      <c r="I115">
        <f t="shared" si="5"/>
        <v>23</v>
      </c>
      <c r="K115" t="str">
        <f t="shared" si="6"/>
        <v>California</v>
      </c>
      <c r="L115" t="str">
        <f t="shared" si="6"/>
        <v>San Benito County</v>
      </c>
      <c r="M115">
        <f t="shared" si="7"/>
        <v>1129.7</v>
      </c>
      <c r="N115" s="6"/>
    </row>
    <row r="116" spans="1:14" x14ac:dyDescent="0.3">
      <c r="A116" t="s">
        <v>19</v>
      </c>
      <c r="B116" t="s">
        <v>59</v>
      </c>
      <c r="C116" s="6">
        <v>356</v>
      </c>
      <c r="D116" s="6">
        <v>20988.9</v>
      </c>
      <c r="G116" t="str">
        <f t="shared" si="3"/>
        <v>California</v>
      </c>
      <c r="H116" t="str">
        <f t="shared" si="4"/>
        <v>San Bernardino County</v>
      </c>
      <c r="I116">
        <f t="shared" si="5"/>
        <v>356</v>
      </c>
      <c r="K116" t="str">
        <f t="shared" si="6"/>
        <v>California</v>
      </c>
      <c r="L116" t="str">
        <f t="shared" si="6"/>
        <v>San Bernardino County</v>
      </c>
      <c r="M116">
        <f t="shared" si="7"/>
        <v>20988.9</v>
      </c>
      <c r="N116" s="6"/>
    </row>
    <row r="117" spans="1:14" x14ac:dyDescent="0.3">
      <c r="A117" t="s">
        <v>19</v>
      </c>
      <c r="B117" t="s">
        <v>62</v>
      </c>
      <c r="C117" s="6">
        <v>1768</v>
      </c>
      <c r="D117" s="6">
        <v>98367.099999999977</v>
      </c>
      <c r="G117" t="str">
        <f t="shared" si="3"/>
        <v>California</v>
      </c>
      <c r="H117" t="str">
        <f t="shared" si="4"/>
        <v>San Diego County</v>
      </c>
      <c r="I117">
        <f t="shared" si="5"/>
        <v>1768</v>
      </c>
      <c r="K117" t="str">
        <f t="shared" si="6"/>
        <v>California</v>
      </c>
      <c r="L117" t="str">
        <f t="shared" si="6"/>
        <v>San Diego County</v>
      </c>
      <c r="M117">
        <f t="shared" si="7"/>
        <v>98367.099999999977</v>
      </c>
      <c r="N117" s="6"/>
    </row>
    <row r="118" spans="1:14" x14ac:dyDescent="0.3">
      <c r="A118" t="s">
        <v>19</v>
      </c>
      <c r="B118" t="s">
        <v>103</v>
      </c>
      <c r="C118" s="6">
        <v>307</v>
      </c>
      <c r="D118" s="6">
        <v>21911.9</v>
      </c>
      <c r="G118" t="str">
        <f t="shared" si="3"/>
        <v>California</v>
      </c>
      <c r="H118" t="str">
        <f t="shared" si="4"/>
        <v>San Francisco</v>
      </c>
      <c r="I118">
        <f t="shared" si="5"/>
        <v>307</v>
      </c>
      <c r="K118" t="str">
        <f t="shared" si="6"/>
        <v>California</v>
      </c>
      <c r="L118" t="str">
        <f t="shared" si="6"/>
        <v>San Francisco</v>
      </c>
      <c r="M118">
        <f t="shared" si="7"/>
        <v>21911.9</v>
      </c>
      <c r="N118" s="6"/>
    </row>
    <row r="119" spans="1:14" x14ac:dyDescent="0.3">
      <c r="A119" t="s">
        <v>19</v>
      </c>
      <c r="B119" t="s">
        <v>201</v>
      </c>
      <c r="C119" s="6">
        <v>117</v>
      </c>
      <c r="D119" s="6">
        <v>5441.2</v>
      </c>
      <c r="G119" t="str">
        <f t="shared" si="3"/>
        <v>California</v>
      </c>
      <c r="H119" t="str">
        <f t="shared" si="4"/>
        <v>San Joaquin County</v>
      </c>
      <c r="I119">
        <f t="shared" si="5"/>
        <v>117</v>
      </c>
      <c r="K119" t="str">
        <f t="shared" si="6"/>
        <v>California</v>
      </c>
      <c r="L119" t="str">
        <f t="shared" si="6"/>
        <v>San Joaquin County</v>
      </c>
      <c r="M119">
        <f t="shared" si="7"/>
        <v>5441.2</v>
      </c>
      <c r="N119" s="6"/>
    </row>
    <row r="120" spans="1:14" x14ac:dyDescent="0.3">
      <c r="A120" t="s">
        <v>19</v>
      </c>
      <c r="B120" t="s">
        <v>429</v>
      </c>
      <c r="C120" s="6">
        <v>13</v>
      </c>
      <c r="D120" s="6">
        <v>392.8</v>
      </c>
      <c r="G120" t="str">
        <f t="shared" si="3"/>
        <v>California</v>
      </c>
      <c r="H120" t="str">
        <f t="shared" si="4"/>
        <v>San Luis Obispo County</v>
      </c>
      <c r="I120">
        <f t="shared" si="5"/>
        <v>13</v>
      </c>
      <c r="K120" t="str">
        <f t="shared" si="6"/>
        <v>California</v>
      </c>
      <c r="L120" t="str">
        <f t="shared" si="6"/>
        <v>San Luis Obispo County</v>
      </c>
      <c r="M120">
        <f t="shared" si="7"/>
        <v>392.8</v>
      </c>
      <c r="N120" s="6"/>
    </row>
    <row r="121" spans="1:14" x14ac:dyDescent="0.3">
      <c r="A121" t="s">
        <v>19</v>
      </c>
      <c r="B121" t="s">
        <v>72</v>
      </c>
      <c r="C121" s="6">
        <v>364</v>
      </c>
      <c r="D121" s="6">
        <v>16172.000000000005</v>
      </c>
      <c r="G121" t="str">
        <f t="shared" si="3"/>
        <v>California</v>
      </c>
      <c r="H121" t="str">
        <f t="shared" si="4"/>
        <v>San Mateo County</v>
      </c>
      <c r="I121">
        <f t="shared" si="5"/>
        <v>364</v>
      </c>
      <c r="K121" t="str">
        <f t="shared" si="6"/>
        <v>California</v>
      </c>
      <c r="L121" t="str">
        <f t="shared" si="6"/>
        <v>San Mateo County</v>
      </c>
      <c r="M121">
        <f t="shared" si="7"/>
        <v>16172.000000000005</v>
      </c>
      <c r="N121" s="6"/>
    </row>
    <row r="122" spans="1:14" x14ac:dyDescent="0.3">
      <c r="A122" t="s">
        <v>19</v>
      </c>
      <c r="B122" t="s">
        <v>74</v>
      </c>
      <c r="C122" s="6">
        <v>95</v>
      </c>
      <c r="D122" s="6">
        <v>4334.9999999999991</v>
      </c>
      <c r="G122" t="str">
        <f t="shared" si="3"/>
        <v>California</v>
      </c>
      <c r="H122" t="str">
        <f t="shared" si="4"/>
        <v>Santa Barbara County</v>
      </c>
      <c r="I122">
        <f t="shared" si="5"/>
        <v>95</v>
      </c>
      <c r="K122" t="str">
        <f t="shared" si="6"/>
        <v>California</v>
      </c>
      <c r="L122" t="str">
        <f t="shared" si="6"/>
        <v>Santa Barbara County</v>
      </c>
      <c r="M122">
        <f t="shared" si="7"/>
        <v>4334.9999999999991</v>
      </c>
      <c r="N122" s="6"/>
    </row>
    <row r="123" spans="1:14" x14ac:dyDescent="0.3">
      <c r="A123" t="s">
        <v>19</v>
      </c>
      <c r="B123" t="s">
        <v>77</v>
      </c>
      <c r="C123" s="6">
        <v>737</v>
      </c>
      <c r="D123" s="6">
        <v>37449.000000000007</v>
      </c>
      <c r="G123" t="str">
        <f t="shared" si="3"/>
        <v>California</v>
      </c>
      <c r="H123" t="str">
        <f t="shared" si="4"/>
        <v>Santa Clara County</v>
      </c>
      <c r="I123">
        <f t="shared" si="5"/>
        <v>737</v>
      </c>
      <c r="K123" t="str">
        <f t="shared" si="6"/>
        <v>California</v>
      </c>
      <c r="L123" t="str">
        <f t="shared" si="6"/>
        <v>Santa Clara County</v>
      </c>
      <c r="M123">
        <f t="shared" si="7"/>
        <v>37449.000000000007</v>
      </c>
      <c r="N123" s="6"/>
    </row>
    <row r="124" spans="1:14" x14ac:dyDescent="0.3">
      <c r="A124" t="s">
        <v>19</v>
      </c>
      <c r="B124" t="s">
        <v>309</v>
      </c>
      <c r="C124" s="6">
        <v>39</v>
      </c>
      <c r="D124" s="6">
        <v>2447.5</v>
      </c>
      <c r="G124" t="str">
        <f t="shared" si="3"/>
        <v>California</v>
      </c>
      <c r="H124" t="str">
        <f t="shared" si="4"/>
        <v>Santa Cruz County</v>
      </c>
      <c r="I124">
        <f t="shared" si="5"/>
        <v>39</v>
      </c>
      <c r="K124" t="str">
        <f t="shared" si="6"/>
        <v>California</v>
      </c>
      <c r="L124" t="str">
        <f t="shared" si="6"/>
        <v>Santa Cruz County</v>
      </c>
      <c r="M124">
        <f t="shared" si="7"/>
        <v>2447.5</v>
      </c>
      <c r="N124" s="6"/>
    </row>
    <row r="125" spans="1:14" x14ac:dyDescent="0.3">
      <c r="A125" t="s">
        <v>19</v>
      </c>
      <c r="B125" t="s">
        <v>1116</v>
      </c>
      <c r="C125" s="6">
        <v>56</v>
      </c>
      <c r="D125" s="6">
        <v>3391.1</v>
      </c>
      <c r="G125" t="str">
        <f t="shared" si="3"/>
        <v>California</v>
      </c>
      <c r="H125" t="str">
        <f t="shared" si="4"/>
        <v>Shasta County</v>
      </c>
      <c r="I125">
        <f t="shared" si="5"/>
        <v>56</v>
      </c>
      <c r="K125" t="str">
        <f t="shared" si="6"/>
        <v>California</v>
      </c>
      <c r="L125" t="str">
        <f t="shared" si="6"/>
        <v>Shasta County</v>
      </c>
      <c r="M125">
        <f t="shared" si="7"/>
        <v>3391.1</v>
      </c>
      <c r="N125" s="6"/>
    </row>
    <row r="126" spans="1:14" x14ac:dyDescent="0.3">
      <c r="A126" t="s">
        <v>19</v>
      </c>
      <c r="B126" t="s">
        <v>700</v>
      </c>
      <c r="C126" s="6">
        <v>2</v>
      </c>
      <c r="D126" s="6">
        <v>30.8</v>
      </c>
      <c r="G126" t="str">
        <f t="shared" si="3"/>
        <v>California</v>
      </c>
      <c r="H126" t="str">
        <f t="shared" si="4"/>
        <v>Sierra County</v>
      </c>
      <c r="I126">
        <f t="shared" si="5"/>
        <v>2</v>
      </c>
      <c r="K126" t="str">
        <f t="shared" si="6"/>
        <v>California</v>
      </c>
      <c r="L126" t="str">
        <f t="shared" si="6"/>
        <v>Sierra County</v>
      </c>
      <c r="M126">
        <f t="shared" si="7"/>
        <v>30.8</v>
      </c>
      <c r="N126" s="6"/>
    </row>
    <row r="127" spans="1:14" x14ac:dyDescent="0.3">
      <c r="A127" t="s">
        <v>19</v>
      </c>
      <c r="B127" t="s">
        <v>268</v>
      </c>
      <c r="C127" s="6">
        <v>8</v>
      </c>
      <c r="D127" s="6">
        <v>332.3</v>
      </c>
      <c r="G127" t="str">
        <f t="shared" si="3"/>
        <v>California</v>
      </c>
      <c r="H127" t="str">
        <f t="shared" si="4"/>
        <v>Siskiyou County</v>
      </c>
      <c r="I127">
        <f t="shared" si="5"/>
        <v>8</v>
      </c>
      <c r="K127" t="str">
        <f t="shared" si="6"/>
        <v>California</v>
      </c>
      <c r="L127" t="str">
        <f t="shared" si="6"/>
        <v>Siskiyou County</v>
      </c>
      <c r="M127">
        <f t="shared" si="7"/>
        <v>332.3</v>
      </c>
      <c r="N127" s="6"/>
    </row>
    <row r="128" spans="1:14" x14ac:dyDescent="0.3">
      <c r="A128" t="s">
        <v>19</v>
      </c>
      <c r="B128" t="s">
        <v>377</v>
      </c>
      <c r="C128" s="6">
        <v>52</v>
      </c>
      <c r="D128" s="6">
        <v>3175.9999999999995</v>
      </c>
      <c r="G128" t="str">
        <f t="shared" si="3"/>
        <v>California</v>
      </c>
      <c r="H128" t="str">
        <f t="shared" si="4"/>
        <v>Solano County</v>
      </c>
      <c r="I128">
        <f t="shared" si="5"/>
        <v>52</v>
      </c>
      <c r="K128" t="str">
        <f t="shared" si="6"/>
        <v>California</v>
      </c>
      <c r="L128" t="str">
        <f t="shared" si="6"/>
        <v>Solano County</v>
      </c>
      <c r="M128">
        <f t="shared" si="7"/>
        <v>3175.9999999999995</v>
      </c>
      <c r="N128" s="6"/>
    </row>
    <row r="129" spans="1:14" x14ac:dyDescent="0.3">
      <c r="A129" t="s">
        <v>19</v>
      </c>
      <c r="B129" t="s">
        <v>108</v>
      </c>
      <c r="C129" s="6">
        <v>295</v>
      </c>
      <c r="D129" s="6">
        <v>20939.600000000002</v>
      </c>
      <c r="G129" t="str">
        <f t="shared" si="3"/>
        <v>California</v>
      </c>
      <c r="H129" t="str">
        <f t="shared" si="4"/>
        <v>Sonoma County</v>
      </c>
      <c r="I129">
        <f t="shared" si="5"/>
        <v>295</v>
      </c>
      <c r="K129" t="str">
        <f t="shared" si="6"/>
        <v>California</v>
      </c>
      <c r="L129" t="str">
        <f t="shared" si="6"/>
        <v>Sonoma County</v>
      </c>
      <c r="M129">
        <f t="shared" si="7"/>
        <v>20939.600000000002</v>
      </c>
      <c r="N129" s="6"/>
    </row>
    <row r="130" spans="1:14" x14ac:dyDescent="0.3">
      <c r="A130" t="s">
        <v>19</v>
      </c>
      <c r="B130" t="s">
        <v>110</v>
      </c>
      <c r="C130" s="6">
        <v>195</v>
      </c>
      <c r="D130" s="6">
        <v>10185.899999999996</v>
      </c>
      <c r="G130" t="str">
        <f t="shared" si="3"/>
        <v>California</v>
      </c>
      <c r="H130" t="str">
        <f t="shared" si="4"/>
        <v>Stanislaus County</v>
      </c>
      <c r="I130">
        <f t="shared" si="5"/>
        <v>195</v>
      </c>
      <c r="K130" t="str">
        <f t="shared" si="6"/>
        <v>California</v>
      </c>
      <c r="L130" t="str">
        <f t="shared" si="6"/>
        <v>Stanislaus County</v>
      </c>
      <c r="M130">
        <f t="shared" si="7"/>
        <v>10185.899999999996</v>
      </c>
      <c r="N130" s="6"/>
    </row>
    <row r="131" spans="1:14" x14ac:dyDescent="0.3">
      <c r="A131" t="s">
        <v>19</v>
      </c>
      <c r="B131" t="s">
        <v>292</v>
      </c>
      <c r="C131" s="6">
        <v>20</v>
      </c>
      <c r="D131" s="6">
        <v>958.7</v>
      </c>
      <c r="G131" t="str">
        <f t="shared" si="3"/>
        <v>California</v>
      </c>
      <c r="H131" t="str">
        <f t="shared" si="4"/>
        <v>Sutter County</v>
      </c>
      <c r="I131">
        <f t="shared" si="5"/>
        <v>20</v>
      </c>
      <c r="K131" t="str">
        <f t="shared" si="6"/>
        <v>California</v>
      </c>
      <c r="L131" t="str">
        <f t="shared" si="6"/>
        <v>Sutter County</v>
      </c>
      <c r="M131">
        <f t="shared" si="6"/>
        <v>20</v>
      </c>
      <c r="N131" s="6"/>
    </row>
    <row r="132" spans="1:14" x14ac:dyDescent="0.3">
      <c r="A132" t="s">
        <v>19</v>
      </c>
      <c r="B132" t="s">
        <v>79</v>
      </c>
      <c r="C132" s="6">
        <v>6</v>
      </c>
      <c r="D132" s="6">
        <v>323</v>
      </c>
      <c r="G132" t="str">
        <f t="shared" si="3"/>
        <v>California</v>
      </c>
      <c r="H132" t="str">
        <f t="shared" si="4"/>
        <v>Tehama County</v>
      </c>
      <c r="I132">
        <f t="shared" si="5"/>
        <v>6</v>
      </c>
      <c r="K132" t="str">
        <f t="shared" si="6"/>
        <v>California</v>
      </c>
      <c r="L132" t="str">
        <f t="shared" si="6"/>
        <v>Tehama County</v>
      </c>
      <c r="M132">
        <f t="shared" si="6"/>
        <v>6</v>
      </c>
      <c r="N132" s="6"/>
    </row>
    <row r="133" spans="1:14" x14ac:dyDescent="0.3">
      <c r="A133" t="s">
        <v>19</v>
      </c>
      <c r="B133" t="s">
        <v>608</v>
      </c>
      <c r="C133" s="6">
        <v>5</v>
      </c>
      <c r="D133" s="6">
        <v>167.70000000000002</v>
      </c>
      <c r="G133" t="str">
        <f t="shared" si="3"/>
        <v>California</v>
      </c>
      <c r="H133" t="str">
        <f t="shared" si="4"/>
        <v>Trinity County</v>
      </c>
      <c r="I133">
        <f t="shared" si="5"/>
        <v>5</v>
      </c>
      <c r="K133" t="str">
        <f t="shared" si="6"/>
        <v>California</v>
      </c>
      <c r="L133" t="str">
        <f t="shared" si="6"/>
        <v>Trinity County</v>
      </c>
      <c r="M133">
        <f t="shared" si="6"/>
        <v>5</v>
      </c>
      <c r="N133" s="6"/>
    </row>
    <row r="134" spans="1:14" x14ac:dyDescent="0.3">
      <c r="A134" t="s">
        <v>19</v>
      </c>
      <c r="B134" t="s">
        <v>113</v>
      </c>
      <c r="C134" s="6">
        <v>94</v>
      </c>
      <c r="D134" s="6">
        <v>3978.5</v>
      </c>
      <c r="G134" t="str">
        <f t="shared" si="3"/>
        <v>California</v>
      </c>
      <c r="H134" t="str">
        <f t="shared" si="4"/>
        <v>Tulare County</v>
      </c>
      <c r="I134">
        <f t="shared" si="5"/>
        <v>94</v>
      </c>
      <c r="K134" t="str">
        <f t="shared" si="6"/>
        <v>California</v>
      </c>
      <c r="L134" t="str">
        <f t="shared" si="6"/>
        <v>Tulare County</v>
      </c>
      <c r="M134">
        <f t="shared" si="6"/>
        <v>94</v>
      </c>
      <c r="N134" s="6"/>
    </row>
    <row r="135" spans="1:14" x14ac:dyDescent="0.3">
      <c r="A135" t="s">
        <v>19</v>
      </c>
      <c r="B135" t="s">
        <v>997</v>
      </c>
      <c r="C135" s="6">
        <v>28</v>
      </c>
      <c r="D135" s="6">
        <v>1405</v>
      </c>
      <c r="G135" t="str">
        <f t="shared" si="3"/>
        <v>California</v>
      </c>
      <c r="H135" t="str">
        <f t="shared" si="4"/>
        <v>Tuolumne County</v>
      </c>
      <c r="I135">
        <f t="shared" si="5"/>
        <v>28</v>
      </c>
      <c r="K135" t="str">
        <f t="shared" si="6"/>
        <v>California</v>
      </c>
      <c r="L135" t="str">
        <f t="shared" si="6"/>
        <v>Tuolumne County</v>
      </c>
      <c r="M135">
        <f t="shared" si="6"/>
        <v>28</v>
      </c>
      <c r="N135" s="6"/>
    </row>
    <row r="136" spans="1:14" x14ac:dyDescent="0.3">
      <c r="A136" t="s">
        <v>19</v>
      </c>
      <c r="B136" t="s">
        <v>82</v>
      </c>
      <c r="C136" s="6">
        <v>179</v>
      </c>
      <c r="D136" s="6">
        <v>9869.0999999999985</v>
      </c>
      <c r="G136" t="str">
        <f t="shared" si="3"/>
        <v>California</v>
      </c>
      <c r="H136" t="str">
        <f t="shared" si="4"/>
        <v>Ventura County</v>
      </c>
      <c r="I136">
        <f t="shared" si="5"/>
        <v>179</v>
      </c>
      <c r="K136" t="str">
        <f t="shared" si="6"/>
        <v>California</v>
      </c>
      <c r="L136" t="str">
        <f t="shared" si="6"/>
        <v>Ventura County</v>
      </c>
      <c r="M136">
        <f t="shared" si="6"/>
        <v>179</v>
      </c>
      <c r="N136" s="6"/>
    </row>
    <row r="137" spans="1:14" x14ac:dyDescent="0.3">
      <c r="A137" t="s">
        <v>19</v>
      </c>
      <c r="B137" t="s">
        <v>243</v>
      </c>
      <c r="C137" s="6">
        <v>15</v>
      </c>
      <c r="D137" s="6">
        <v>615.29999999999995</v>
      </c>
      <c r="G137" t="str">
        <f t="shared" si="3"/>
        <v>California</v>
      </c>
      <c r="H137" t="str">
        <f t="shared" si="4"/>
        <v>Yolo County</v>
      </c>
      <c r="I137">
        <f t="shared" si="5"/>
        <v>15</v>
      </c>
      <c r="K137" t="str">
        <f t="shared" si="6"/>
        <v>California</v>
      </c>
      <c r="L137" t="str">
        <f t="shared" si="6"/>
        <v>Yolo County</v>
      </c>
      <c r="M137">
        <f t="shared" si="6"/>
        <v>15</v>
      </c>
      <c r="N137" s="6"/>
    </row>
    <row r="138" spans="1:14" x14ac:dyDescent="0.3">
      <c r="A138" t="s">
        <v>19</v>
      </c>
      <c r="B138" t="s">
        <v>1911</v>
      </c>
      <c r="C138" s="6">
        <v>3</v>
      </c>
      <c r="D138" s="6">
        <v>285</v>
      </c>
      <c r="G138" t="str">
        <f t="shared" si="3"/>
        <v>California</v>
      </c>
      <c r="H138" t="str">
        <f t="shared" si="4"/>
        <v>Yuba County</v>
      </c>
      <c r="I138">
        <f t="shared" si="5"/>
        <v>3</v>
      </c>
      <c r="K138" t="str">
        <f t="shared" si="6"/>
        <v>California</v>
      </c>
      <c r="L138" t="str">
        <f t="shared" si="6"/>
        <v>Yuba County</v>
      </c>
      <c r="M138">
        <f t="shared" si="6"/>
        <v>3</v>
      </c>
      <c r="N138" s="6"/>
    </row>
    <row r="145" spans="1:13" x14ac:dyDescent="0.3">
      <c r="A145" s="3" t="s">
        <v>2512</v>
      </c>
      <c r="B145" t="s">
        <v>2504</v>
      </c>
      <c r="G145" s="3" t="s">
        <v>2504</v>
      </c>
      <c r="H145" s="3" t="s">
        <v>2514</v>
      </c>
    </row>
    <row r="146" spans="1:13" x14ac:dyDescent="0.3">
      <c r="A146" s="4">
        <v>0</v>
      </c>
      <c r="B146" s="6">
        <v>175</v>
      </c>
      <c r="G146" s="3" t="s">
        <v>2512</v>
      </c>
      <c r="H146">
        <v>1</v>
      </c>
      <c r="I146">
        <v>2</v>
      </c>
      <c r="J146">
        <v>3</v>
      </c>
      <c r="K146">
        <v>4</v>
      </c>
      <c r="L146">
        <v>5</v>
      </c>
      <c r="M146" t="s">
        <v>2513</v>
      </c>
    </row>
    <row r="147" spans="1:13" x14ac:dyDescent="0.3">
      <c r="A147" s="4">
        <v>1</v>
      </c>
      <c r="B147" s="6">
        <v>888</v>
      </c>
      <c r="G147" s="4" t="s">
        <v>2524</v>
      </c>
      <c r="H147" s="6">
        <v>7</v>
      </c>
      <c r="I147" s="6">
        <v>37</v>
      </c>
      <c r="J147" s="6">
        <v>150</v>
      </c>
      <c r="K147" s="6">
        <v>312</v>
      </c>
      <c r="L147" s="6">
        <v>224</v>
      </c>
      <c r="M147" s="6">
        <v>730</v>
      </c>
    </row>
    <row r="148" spans="1:13" x14ac:dyDescent="0.3">
      <c r="A148" s="4">
        <v>2</v>
      </c>
      <c r="B148" s="6">
        <v>538</v>
      </c>
      <c r="G148" s="4" t="s">
        <v>2525</v>
      </c>
      <c r="H148" s="6">
        <v>8</v>
      </c>
      <c r="I148" s="6">
        <v>51</v>
      </c>
      <c r="J148" s="6">
        <v>182</v>
      </c>
      <c r="K148" s="6">
        <v>373</v>
      </c>
      <c r="L148" s="6">
        <v>247</v>
      </c>
      <c r="M148" s="6">
        <v>861</v>
      </c>
    </row>
    <row r="149" spans="1:13" x14ac:dyDescent="0.3">
      <c r="A149" s="4">
        <v>3</v>
      </c>
      <c r="B149" s="6">
        <v>344</v>
      </c>
      <c r="G149" s="4" t="s">
        <v>2526</v>
      </c>
      <c r="H149" s="6">
        <v>6</v>
      </c>
      <c r="I149" s="6">
        <v>39</v>
      </c>
      <c r="J149" s="6">
        <v>163</v>
      </c>
      <c r="K149" s="6">
        <v>351</v>
      </c>
      <c r="L149" s="6">
        <v>250</v>
      </c>
      <c r="M149" s="6">
        <v>809</v>
      </c>
    </row>
    <row r="150" spans="1:13" x14ac:dyDescent="0.3">
      <c r="A150" s="4">
        <v>4</v>
      </c>
      <c r="B150" s="6">
        <v>200</v>
      </c>
      <c r="G150" s="4" t="s">
        <v>2513</v>
      </c>
      <c r="H150" s="6">
        <v>21</v>
      </c>
      <c r="I150" s="6">
        <v>127</v>
      </c>
      <c r="J150" s="6">
        <v>495</v>
      </c>
      <c r="K150" s="6">
        <v>1036</v>
      </c>
      <c r="L150" s="6">
        <v>721</v>
      </c>
      <c r="M150" s="6">
        <v>2400</v>
      </c>
    </row>
    <row r="151" spans="1:13" x14ac:dyDescent="0.3">
      <c r="A151" s="4">
        <v>5</v>
      </c>
      <c r="B151" s="6">
        <v>94</v>
      </c>
    </row>
    <row r="152" spans="1:13" x14ac:dyDescent="0.3">
      <c r="A152" s="4">
        <v>6</v>
      </c>
      <c r="B152" s="6">
        <v>51</v>
      </c>
    </row>
    <row r="153" spans="1:13" x14ac:dyDescent="0.3">
      <c r="A153" s="4">
        <v>7</v>
      </c>
      <c r="B153" s="6">
        <v>32</v>
      </c>
    </row>
    <row r="154" spans="1:13" x14ac:dyDescent="0.3">
      <c r="A154" s="4">
        <v>8</v>
      </c>
      <c r="B154" s="6">
        <v>23</v>
      </c>
    </row>
    <row r="155" spans="1:13" x14ac:dyDescent="0.3">
      <c r="A155" s="4">
        <v>9</v>
      </c>
      <c r="B155" s="6">
        <v>9</v>
      </c>
    </row>
    <row r="156" spans="1:13" x14ac:dyDescent="0.3">
      <c r="A156" s="4">
        <v>10</v>
      </c>
      <c r="B156" s="6">
        <v>8</v>
      </c>
    </row>
    <row r="157" spans="1:13" x14ac:dyDescent="0.3">
      <c r="A157" s="4">
        <v>11</v>
      </c>
      <c r="B157" s="6">
        <v>11</v>
      </c>
    </row>
    <row r="158" spans="1:13" x14ac:dyDescent="0.3">
      <c r="A158" s="4">
        <v>12</v>
      </c>
      <c r="B158" s="6">
        <v>4</v>
      </c>
    </row>
    <row r="159" spans="1:13" x14ac:dyDescent="0.3">
      <c r="A159" s="4">
        <v>13</v>
      </c>
      <c r="B159" s="6">
        <v>10</v>
      </c>
    </row>
    <row r="160" spans="1:13" x14ac:dyDescent="0.3">
      <c r="A160" s="4">
        <v>14</v>
      </c>
      <c r="B160" s="6">
        <v>13</v>
      </c>
    </row>
    <row r="161" spans="1:2" x14ac:dyDescent="0.3">
      <c r="A161" s="4" t="s">
        <v>2513</v>
      </c>
      <c r="B161" s="6">
        <v>2400</v>
      </c>
    </row>
  </sheetData>
  <conditionalFormatting sqref="O11:R15">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DC36E-AA6E-47F9-B2FF-AF88EFFAF064}">
  <dimension ref="A1"/>
  <sheetViews>
    <sheetView tabSelected="1" zoomScale="98" workbookViewId="0">
      <selection activeCell="X17" sqref="X17"/>
    </sheetView>
  </sheetViews>
  <sheetFormatPr defaultRowHeight="14.4" x14ac:dyDescent="0.3"/>
  <cols>
    <col min="1" max="1" width="2.21875" customWidth="1"/>
    <col min="2" max="2" width="17.109375" customWidth="1"/>
    <col min="3" max="3" width="2.5546875" customWidth="1"/>
    <col min="16" max="16" width="8.88671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pivot_backend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jami tharun</cp:lastModifiedBy>
  <dcterms:created xsi:type="dcterms:W3CDTF">2025-06-13T02:42:26Z</dcterms:created>
  <dcterms:modified xsi:type="dcterms:W3CDTF">2026-05-31T14:24:03Z</dcterms:modified>
</cp:coreProperties>
</file>